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04A5C16-1429-4770-B8A1-BCACBF50CB1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" sheetId="1" r:id="rId1"/>
    <sheet name="API Test Cases" sheetId="2" r:id="rId2"/>
    <sheet name="Raw Test Data" sheetId="3" r:id="rId3"/>
  </sheets>
  <definedNames>
    <definedName name="_xlnm._FilterDatabase" localSheetId="1" hidden="1">'API Test Cases'!$A$4:$J$84</definedName>
    <definedName name="_xlnm._FilterDatabase" localSheetId="2" hidden="1">'Raw Test Data'!$A$2:$J$82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  <c r="I18" i="1"/>
  <c r="I17" i="1"/>
  <c r="I16" i="1"/>
  <c r="I15" i="1"/>
  <c r="F15" i="1"/>
  <c r="I14" i="1"/>
  <c r="F14" i="1"/>
  <c r="C14" i="1"/>
  <c r="I13" i="1"/>
  <c r="F13" i="1"/>
  <c r="C13" i="1"/>
  <c r="I12" i="1"/>
  <c r="F12" i="1"/>
  <c r="C12" i="1"/>
  <c r="J8" i="1"/>
  <c r="H8" i="1"/>
  <c r="F8" i="1"/>
  <c r="D8" i="1"/>
  <c r="B8" i="1"/>
</calcChain>
</file>

<file path=xl/sharedStrings.xml><?xml version="1.0" encoding="utf-8"?>
<sst xmlns="http://schemas.openxmlformats.org/spreadsheetml/2006/main" count="1655" uniqueCount="400">
  <si>
    <t>API Test Case Checklist</t>
  </si>
  <si>
    <t>Project: School Management ERP  |  Test Type: API Testing</t>
  </si>
  <si>
    <t>Prepared by: QA Lead   |   Date: ___________</t>
  </si>
  <si>
    <t>Total APIs</t>
  </si>
  <si>
    <t>Passed</t>
  </si>
  <si>
    <t>Failed</t>
  </si>
  <si>
    <t>Blocked</t>
  </si>
  <si>
    <t>Not Executed</t>
  </si>
  <si>
    <t>Priority Breakdown</t>
  </si>
  <si>
    <t>Method Breakdown</t>
  </si>
  <si>
    <t>Module Count</t>
  </si>
  <si>
    <t>High</t>
  </si>
  <si>
    <t>GET</t>
  </si>
  <si>
    <t>Authentication</t>
  </si>
  <si>
    <t>Medium</t>
  </si>
  <si>
    <t>POST</t>
  </si>
  <si>
    <t>Student</t>
  </si>
  <si>
    <t>Low</t>
  </si>
  <si>
    <t>PUT</t>
  </si>
  <si>
    <t>Admission</t>
  </si>
  <si>
    <t>DELETE</t>
  </si>
  <si>
    <t>Teacher</t>
  </si>
  <si>
    <t>Attendance</t>
  </si>
  <si>
    <t>Homework</t>
  </si>
  <si>
    <t>Examination</t>
  </si>
  <si>
    <t>Finance</t>
  </si>
  <si>
    <t>Accounts</t>
  </si>
  <si>
    <t>Communication</t>
  </si>
  <si>
    <t>Library</t>
  </si>
  <si>
    <t>Inventory</t>
  </si>
  <si>
    <t>Transport</t>
  </si>
  <si>
    <t>Reports</t>
  </si>
  <si>
    <t>Security</t>
  </si>
  <si>
    <t>API Test Case Checklist — School Management ERP</t>
  </si>
  <si>
    <t>API ID</t>
  </si>
  <si>
    <t>Module</t>
  </si>
  <si>
    <t>API Name</t>
  </si>
  <si>
    <t>Method</t>
  </si>
  <si>
    <t>Test Scenario</t>
  </si>
  <si>
    <t>Test Data</t>
  </si>
  <si>
    <t>Expected Status Code</t>
  </si>
  <si>
    <t>Expected Result</t>
  </si>
  <si>
    <t>Priority</t>
  </si>
  <si>
    <t>Status</t>
  </si>
  <si>
    <t>API-001</t>
  </si>
  <si>
    <t>Login</t>
  </si>
  <si>
    <t>Login with valid credentials</t>
  </si>
  <si>
    <t>Valid Email &amp; Password</t>
  </si>
  <si>
    <t>200 OK</t>
  </si>
  <si>
    <t>User logged in successfully and token generated</t>
  </si>
  <si>
    <t>Fail</t>
  </si>
  <si>
    <t>API-002</t>
  </si>
  <si>
    <t>Login with invalid password</t>
  </si>
  <si>
    <t>Valid Email + Invalid Password</t>
  </si>
  <si>
    <t>401 Unauthorized</t>
  </si>
  <si>
    <t>Proper error message displayed</t>
  </si>
  <si>
    <t>Pass</t>
  </si>
  <si>
    <t>API-003</t>
  </si>
  <si>
    <t>Login with invalid email</t>
  </si>
  <si>
    <t>Invalid Email</t>
  </si>
  <si>
    <t>Authentication failed</t>
  </si>
  <si>
    <t>API-004</t>
  </si>
  <si>
    <t>Login with empty email</t>
  </si>
  <si>
    <t>Empty Email</t>
  </si>
  <si>
    <t>400 Bad Request</t>
  </si>
  <si>
    <t>Email validation message</t>
  </si>
  <si>
    <t>API-005</t>
  </si>
  <si>
    <t>Login with empty password</t>
  </si>
  <si>
    <t>Empty Password</t>
  </si>
  <si>
    <t>Password validation message</t>
  </si>
  <si>
    <t>API-006</t>
  </si>
  <si>
    <t>Missing request body</t>
  </si>
  <si>
    <t>{}</t>
  </si>
  <si>
    <t>Request validation failed</t>
  </si>
  <si>
    <t>API-007</t>
  </si>
  <si>
    <t>SQL Injection attempt</t>
  </si>
  <si>
    <t>' OR 1=1 --</t>
  </si>
  <si>
    <t>400/401</t>
  </si>
  <si>
    <t>Request rejected</t>
  </si>
  <si>
    <t>API-008</t>
  </si>
  <si>
    <t>XSS payload</t>
  </si>
  <si>
    <t>&lt;script&gt;alert(1)&lt;/script&gt;</t>
  </si>
  <si>
    <t>400</t>
  </si>
  <si>
    <t>Input sanitized</t>
  </si>
  <si>
    <t>API-009</t>
  </si>
  <si>
    <t>Logout</t>
  </si>
  <si>
    <t>Logout with valid token</t>
  </si>
  <si>
    <t>Bearer Token</t>
  </si>
  <si>
    <t>User logged out successfully</t>
  </si>
  <si>
    <t>API-010</t>
  </si>
  <si>
    <t>Logout with invalid token</t>
  </si>
  <si>
    <t>Invalid Token</t>
  </si>
  <si>
    <t>Unauthorized response</t>
  </si>
  <si>
    <t>API-011</t>
  </si>
  <si>
    <t>Student List</t>
  </si>
  <si>
    <t>Retrieve all students</t>
  </si>
  <si>
    <t>Valid Token</t>
  </si>
  <si>
    <t>Student list returned</t>
  </si>
  <si>
    <t>API-012</t>
  </si>
  <si>
    <t>Retrieve student list without token</t>
  </si>
  <si>
    <t>No Token</t>
  </si>
  <si>
    <t>API-013</t>
  </si>
  <si>
    <t>Add Student</t>
  </si>
  <si>
    <t>Create student with valid data</t>
  </si>
  <si>
    <t>Valid JSON</t>
  </si>
  <si>
    <t>201 Created</t>
  </si>
  <si>
    <t>Student created successfully</t>
  </si>
  <si>
    <t>API-014</t>
  </si>
  <si>
    <t>Missing required field</t>
  </si>
  <si>
    <t>Missing Name</t>
  </si>
  <si>
    <t>Validation message returned</t>
  </si>
  <si>
    <t>API-015</t>
  </si>
  <si>
    <t>Duplicate admission number</t>
  </si>
  <si>
    <t>Existing Admission No</t>
  </si>
  <si>
    <t>409 Conflict</t>
  </si>
  <si>
    <t>Duplicate record prevented</t>
  </si>
  <si>
    <t>API-016</t>
  </si>
  <si>
    <t>Update Student</t>
  </si>
  <si>
    <t>Update existing student</t>
  </si>
  <si>
    <t>Valid Student ID</t>
  </si>
  <si>
    <t>Student updated successfully</t>
  </si>
  <si>
    <t>API-017</t>
  </si>
  <si>
    <t>Invalid student ID</t>
  </si>
  <si>
    <t>Invalid ID</t>
  </si>
  <si>
    <t>404 Not Found</t>
  </si>
  <si>
    <t>Student not found</t>
  </si>
  <si>
    <t>API-018</t>
  </si>
  <si>
    <t>Delete Student</t>
  </si>
  <si>
    <t>Delete existing student</t>
  </si>
  <si>
    <t>Existing ID</t>
  </si>
  <si>
    <t>Student deleted successfully</t>
  </si>
  <si>
    <t>API-019</t>
  </si>
  <si>
    <t>Delete non-existing student</t>
  </si>
  <si>
    <t>Proper error returned</t>
  </si>
  <si>
    <t>API-020</t>
  </si>
  <si>
    <t>Admission List</t>
  </si>
  <si>
    <t>Retrieve admission records</t>
  </si>
  <si>
    <t>Admission list displayed</t>
  </si>
  <si>
    <t>API-021</t>
  </si>
  <si>
    <t>Create Admission</t>
  </si>
  <si>
    <t>Create admission with valid data</t>
  </si>
  <si>
    <t>Admission created successfully</t>
  </si>
  <si>
    <t>API-022</t>
  </si>
  <si>
    <t>Missing mandatory fields</t>
  </si>
  <si>
    <t>Missing Student Name</t>
  </si>
  <si>
    <t>Validation error returned</t>
  </si>
  <si>
    <t>API-023</t>
  </si>
  <si>
    <t>Invalid phone number</t>
  </si>
  <si>
    <t>Phone = ABC123</t>
  </si>
  <si>
    <t>Phone validation displayed</t>
  </si>
  <si>
    <t>API-024</t>
  </si>
  <si>
    <t>Duplicate admission request</t>
  </si>
  <si>
    <t>Duplicate admission prevented</t>
  </si>
  <si>
    <t>API-025</t>
  </si>
  <si>
    <t>Upload Documents</t>
  </si>
  <si>
    <t>Upload valid document</t>
  </si>
  <si>
    <t>PDF/JPG</t>
  </si>
  <si>
    <t>Document uploaded successfully</t>
  </si>
  <si>
    <t>API-026</t>
  </si>
  <si>
    <t>Teacher List</t>
  </si>
  <si>
    <t>Retrieve teacher list</t>
  </si>
  <si>
    <t>Teacher list returned</t>
  </si>
  <si>
    <t>API-027</t>
  </si>
  <si>
    <t>Add Teacher</t>
  </si>
  <si>
    <t>Add teacher with valid data</t>
  </si>
  <si>
    <t>Teacher created successfully</t>
  </si>
  <si>
    <t>API-028</t>
  </si>
  <si>
    <t>Invalid email format</t>
  </si>
  <si>
    <t>invalid-email</t>
  </si>
  <si>
    <t>Email validation displayed</t>
  </si>
  <si>
    <t>API-029</t>
  </si>
  <si>
    <t>Update Teacher</t>
  </si>
  <si>
    <t>Update teacher information</t>
  </si>
  <si>
    <t>Valid Teacher ID</t>
  </si>
  <si>
    <t>Teacher updated successfully</t>
  </si>
  <si>
    <t>API-030</t>
  </si>
  <si>
    <t>Delete Teacher</t>
  </si>
  <si>
    <t>Delete teacher</t>
  </si>
  <si>
    <t>Existing Teacher ID</t>
  </si>
  <si>
    <t>Teacher deleted successfully</t>
  </si>
  <si>
    <t>API-031</t>
  </si>
  <si>
    <t>Attendance List</t>
  </si>
  <si>
    <t>Retrieve attendance records</t>
  </si>
  <si>
    <t>Attendance records returned</t>
  </si>
  <si>
    <t>API-032</t>
  </si>
  <si>
    <t>Mark Attendance</t>
  </si>
  <si>
    <t>Mark attendance with valid data</t>
  </si>
  <si>
    <t>Attendance saved successfully</t>
  </si>
  <si>
    <t>API-033</t>
  </si>
  <si>
    <t>Duplicate attendance submission</t>
  </si>
  <si>
    <t>Same Student &amp; Date</t>
  </si>
  <si>
    <t>Duplicate attendance prevented</t>
  </si>
  <si>
    <t>API-034</t>
  </si>
  <si>
    <t>Invalid attendance date</t>
  </si>
  <si>
    <t>Invalid Date</t>
  </si>
  <si>
    <t>Date validation displayed</t>
  </si>
  <si>
    <t>API-035</t>
  </si>
  <si>
    <t>Access without authentication</t>
  </si>
  <si>
    <t>Unauthorized response returned</t>
  </si>
  <si>
    <t>API-036</t>
  </si>
  <si>
    <t>Homework List</t>
  </si>
  <si>
    <t>Retrieve homework list</t>
  </si>
  <si>
    <t>Homework list displayed</t>
  </si>
  <si>
    <t>API-037</t>
  </si>
  <si>
    <t>Create Homework</t>
  </si>
  <si>
    <t>Create homework with valid data</t>
  </si>
  <si>
    <t>Homework created successfully</t>
  </si>
  <si>
    <t>API-038</t>
  </si>
  <si>
    <t>Submit Homework</t>
  </si>
  <si>
    <t>Submit homework</t>
  </si>
  <si>
    <t>Valid Submission</t>
  </si>
  <si>
    <t>Homework submitted successfully</t>
  </si>
  <si>
    <t>API-039</t>
  </si>
  <si>
    <t>Evaluate Homework</t>
  </si>
  <si>
    <t>Evaluate homework with valid marks</t>
  </si>
  <si>
    <t>Marks = 90</t>
  </si>
  <si>
    <t>Evaluation saved successfully</t>
  </si>
  <si>
    <t>API-040</t>
  </si>
  <si>
    <t>Enter invalid marks</t>
  </si>
  <si>
    <t>Marks = 120</t>
  </si>
  <si>
    <t>Marks validation returned</t>
  </si>
  <si>
    <t>API-041</t>
  </si>
  <si>
    <t>Exam List</t>
  </si>
  <si>
    <t>Retrieve exam list</t>
  </si>
  <si>
    <t>Exam list returned successfully</t>
  </si>
  <si>
    <t>API-042</t>
  </si>
  <si>
    <t>Create Exam</t>
  </si>
  <si>
    <t>Create exam with valid data</t>
  </si>
  <si>
    <t>Exam created successfully</t>
  </si>
  <si>
    <t>API-043</t>
  </si>
  <si>
    <t>Mark Entry</t>
  </si>
  <si>
    <t>Submit student marks</t>
  </si>
  <si>
    <t>Valid Marks</t>
  </si>
  <si>
    <t>Marks saved successfully</t>
  </si>
  <si>
    <t>API-044</t>
  </si>
  <si>
    <t>Submit marks exceeding maximum</t>
  </si>
  <si>
    <t>Marks &gt; Full Marks</t>
  </si>
  <si>
    <t>API-045</t>
  </si>
  <si>
    <t>Publish Result</t>
  </si>
  <si>
    <t>Publish exam result</t>
  </si>
  <si>
    <t>Valid Exam ID</t>
  </si>
  <si>
    <t>Results published successfully</t>
  </si>
  <si>
    <t>API-046</t>
  </si>
  <si>
    <t>Grade Mapping</t>
  </si>
  <si>
    <t>Retrieve grade mappings</t>
  </si>
  <si>
    <t>Grade mappings displayed</t>
  </si>
  <si>
    <t>API-047</t>
  </si>
  <si>
    <t>Seat Plan</t>
  </si>
  <si>
    <t>Retrieve seat plan</t>
  </si>
  <si>
    <t>Seat plan generated successfully</t>
  </si>
  <si>
    <t>API-048</t>
  </si>
  <si>
    <t>Fee Structure</t>
  </si>
  <si>
    <t>Retrieve fee structure</t>
  </si>
  <si>
    <t>Fee structures displayed</t>
  </si>
  <si>
    <t>API-049</t>
  </si>
  <si>
    <t>Generate Invoice</t>
  </si>
  <si>
    <t>Generate fee invoice</t>
  </si>
  <si>
    <t>Invoice generated successfully</t>
  </si>
  <si>
    <t>API-050</t>
  </si>
  <si>
    <t>Generate duplicate invoice</t>
  </si>
  <si>
    <t>Existing Invoice</t>
  </si>
  <si>
    <t>Duplicate invoice prevented</t>
  </si>
  <si>
    <t>API-051</t>
  </si>
  <si>
    <t>Payment Collection</t>
  </si>
  <si>
    <t>Record payment</t>
  </si>
  <si>
    <t>Valid Payment Data</t>
  </si>
  <si>
    <t>Payment collected successfully</t>
  </si>
  <si>
    <t>API-052</t>
  </si>
  <si>
    <t>Invalid payment amount</t>
  </si>
  <si>
    <t>Negative Amount</t>
  </si>
  <si>
    <t>Validation error displayed</t>
  </si>
  <si>
    <t>API-053</t>
  </si>
  <si>
    <t>Income</t>
  </si>
  <si>
    <t>Retrieve income records</t>
  </si>
  <si>
    <t>Income records displayed</t>
  </si>
  <si>
    <t>API-054</t>
  </si>
  <si>
    <t>Add Income</t>
  </si>
  <si>
    <t>Add income entry</t>
  </si>
  <si>
    <t>Valid Data</t>
  </si>
  <si>
    <t>Income added successfully</t>
  </si>
  <si>
    <t>API-055</t>
  </si>
  <si>
    <t>Expense</t>
  </si>
  <si>
    <t>Retrieve expense records</t>
  </si>
  <si>
    <t>Expense records displayed</t>
  </si>
  <si>
    <t>API-056</t>
  </si>
  <si>
    <t>Add Expense</t>
  </si>
  <si>
    <t>Add expense entry</t>
  </si>
  <si>
    <t>Expense added successfully</t>
  </si>
  <si>
    <t>API-057</t>
  </si>
  <si>
    <t>Notice List</t>
  </si>
  <si>
    <t>Retrieve notices</t>
  </si>
  <si>
    <t>Notice list displayed</t>
  </si>
  <si>
    <t>API-058</t>
  </si>
  <si>
    <t>Send Notice</t>
  </si>
  <si>
    <t>Send notice</t>
  </si>
  <si>
    <t>Valid Notice Data</t>
  </si>
  <si>
    <t>Notice sent successfully</t>
  </si>
  <si>
    <t>API-059</t>
  </si>
  <si>
    <t>Send Email</t>
  </si>
  <si>
    <t>Send email notification</t>
  </si>
  <si>
    <t>Valid Email Data</t>
  </si>
  <si>
    <t>Email delivered successfully</t>
  </si>
  <si>
    <t>API-060</t>
  </si>
  <si>
    <t>Book List</t>
  </si>
  <si>
    <t>Retrieve available books</t>
  </si>
  <si>
    <t>Book list displayed successfully</t>
  </si>
  <si>
    <t>API-061</t>
  </si>
  <si>
    <t>Issue Book</t>
  </si>
  <si>
    <t>Issue a book to student</t>
  </si>
  <si>
    <t>Valid Book ID &amp; Student ID</t>
  </si>
  <si>
    <t>Book issued successfully</t>
  </si>
  <si>
    <t>API-062</t>
  </si>
  <si>
    <t>Return Book</t>
  </si>
  <si>
    <t>Return issued book</t>
  </si>
  <si>
    <t>Valid Issue ID</t>
  </si>
  <si>
    <t>Book returned successfully</t>
  </si>
  <si>
    <t>API-063</t>
  </si>
  <si>
    <t>Item List</t>
  </si>
  <si>
    <t>Retrieve inventory items</t>
  </si>
  <si>
    <t>Inventory list displayed</t>
  </si>
  <si>
    <t>API-064</t>
  </si>
  <si>
    <t>Add Item</t>
  </si>
  <si>
    <t>Add new inventory item</t>
  </si>
  <si>
    <t>Item added successfully</t>
  </si>
  <si>
    <t>API-065</t>
  </si>
  <si>
    <t>Issue Item</t>
  </si>
  <si>
    <t>Issue inventory item</t>
  </si>
  <si>
    <t>Valid Item ID</t>
  </si>
  <si>
    <t>Item issued successfully</t>
  </si>
  <si>
    <t>API-066</t>
  </si>
  <si>
    <t>Route List</t>
  </si>
  <si>
    <t>Retrieve transport routes</t>
  </si>
  <si>
    <t>Route list displayed</t>
  </si>
  <si>
    <t>API-067</t>
  </si>
  <si>
    <t>Assign Route</t>
  </si>
  <si>
    <t>Assign transport route to student</t>
  </si>
  <si>
    <t>Valid Student ID &amp; Route ID</t>
  </si>
  <si>
    <t>Route assigned successfully</t>
  </si>
  <si>
    <t>API-068</t>
  </si>
  <si>
    <t>Student Report</t>
  </si>
  <si>
    <t>Generate student report</t>
  </si>
  <si>
    <t>Valid Parameters</t>
  </si>
  <si>
    <t>Student report generated</t>
  </si>
  <si>
    <t>API-069</t>
  </si>
  <si>
    <t>Attendance Report</t>
  </si>
  <si>
    <t>Generate attendance report</t>
  </si>
  <si>
    <t>Valid Date Range</t>
  </si>
  <si>
    <t>Attendance report generated</t>
  </si>
  <si>
    <t>API-070</t>
  </si>
  <si>
    <t>Examination Report</t>
  </si>
  <si>
    <t>Generate examination report</t>
  </si>
  <si>
    <t>Examination report generated</t>
  </si>
  <si>
    <t>API-071</t>
  </si>
  <si>
    <t>Finance Report</t>
  </si>
  <si>
    <t>Generate finance report</t>
  </si>
  <si>
    <t>Finance report generated</t>
  </si>
  <si>
    <t>API-072</t>
  </si>
  <si>
    <t>Access API with expired JWT token</t>
  </si>
  <si>
    <t>Expired Token</t>
  </si>
  <si>
    <t>Access denied with proper error message</t>
  </si>
  <si>
    <t>API-073</t>
  </si>
  <si>
    <t>Access API with invalid JWT token</t>
  </si>
  <si>
    <t>API-074</t>
  </si>
  <si>
    <t>Authorization</t>
  </si>
  <si>
    <t>Access Admin API using Student role</t>
  </si>
  <si>
    <t>Student Token</t>
  </si>
  <si>
    <t>403 Forbidden</t>
  </si>
  <si>
    <t>Access denied due to insufficient permissions</t>
  </si>
  <si>
    <t>API-075</t>
  </si>
  <si>
    <t>Request Validation</t>
  </si>
  <si>
    <t>Send malformed JSON payload</t>
  </si>
  <si>
    <t>Invalid JSON</t>
  </si>
  <si>
    <t>Request rejected with validation error</t>
  </si>
  <si>
    <t>API-076</t>
  </si>
  <si>
    <t>Content-Type</t>
  </si>
  <si>
    <t>Send unsupported Content-Type header</t>
  </si>
  <si>
    <t>text/plain</t>
  </si>
  <si>
    <t>415 Unsupported Media Type</t>
  </si>
  <si>
    <t>Unsupported media type response returned</t>
  </si>
  <si>
    <t>API-077</t>
  </si>
  <si>
    <t>Access protected API without Authorization header</t>
  </si>
  <si>
    <t>No Header</t>
  </si>
  <si>
    <t>Authentication required message displayed</t>
  </si>
  <si>
    <t>API-078</t>
  </si>
  <si>
    <t>Send extremely large payload</t>
  </si>
  <si>
    <t>Large JSON Body</t>
  </si>
  <si>
    <t>413 Payload Too Large / Validation Error</t>
  </si>
  <si>
    <t>Request handled safely without server crash</t>
  </si>
  <si>
    <t>API-079</t>
  </si>
  <si>
    <t>SQL Injection</t>
  </si>
  <si>
    <t>Attempt SQL Injection through API input</t>
  </si>
  <si>
    <t>' OR '1'='1</t>
  </si>
  <si>
    <t>400 Bad Request / Validation Error</t>
  </si>
  <si>
    <t>Malicious input rejected</t>
  </si>
  <si>
    <t>API-080</t>
  </si>
  <si>
    <t>Server Error Handling</t>
  </si>
  <si>
    <t>Request invalid endpoint</t>
  </si>
  <si>
    <t>Invalid URL</t>
  </si>
  <si>
    <t>Proper error response returned without exposing server information</t>
  </si>
  <si>
    <t>Raw API Test Case Data — All 80 Rows (Reference)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</si>
</sst>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22"/>
      <color rgb="FF1F2A44"/>
      <name val="Calibri"/>
      <charset val="1"/>
    </font>
    <font>
      <i/>
      <sz val="12"/>
      <color rgb="FF666666"/>
      <name val="Calibri"/>
      <charset val="1"/>
    </font>
    <font>
      <sz val="11"/>
      <color rgb="FF666666"/>
      <name val="Calibri"/>
      <charset val="1"/>
    </font>
    <font>
      <b/>
      <sz val="10"/>
      <color rgb="FFFFFFFF"/>
      <name val="Calibri"/>
      <charset val="1"/>
    </font>
    <font>
      <b/>
      <sz val="20"/>
      <color rgb="FF1F2A44"/>
      <name val="Calibri"/>
      <charset val="1"/>
    </font>
    <font>
      <b/>
      <sz val="20"/>
      <color rgb="FF2E7D32"/>
      <name val="Calibri"/>
      <charset val="1"/>
    </font>
    <font>
      <b/>
      <sz val="20"/>
      <color rgb="FFC62828"/>
      <name val="Calibri"/>
      <charset val="1"/>
    </font>
    <font>
      <b/>
      <sz val="20"/>
      <color rgb="FFF9A825"/>
      <name val="Calibri"/>
      <charset val="1"/>
    </font>
    <font>
      <b/>
      <sz val="20"/>
      <color rgb="FF757575"/>
      <name val="Calibri"/>
      <charset val="1"/>
    </font>
    <font>
      <b/>
      <sz val="12"/>
      <color rgb="FF1F2A44"/>
      <name val="Calibri"/>
      <charset val="1"/>
    </font>
    <font>
      <b/>
      <sz val="11"/>
      <color rgb="FFE74C3C"/>
      <name val="Calibri"/>
      <charset val="1"/>
    </font>
    <font>
      <b/>
      <sz val="11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1"/>
      <color rgb="FFB9770E"/>
      <name val="Calibri"/>
      <charset val="1"/>
    </font>
    <font>
      <b/>
      <sz val="11"/>
      <color rgb="FF27AE60"/>
      <name val="Calibri"/>
      <charset val="1"/>
    </font>
    <font>
      <b/>
      <sz val="16"/>
      <color rgb="FFFFFFFF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b/>
      <sz val="10"/>
      <color rgb="FF229954"/>
      <name val="Calibri"/>
      <charset val="1"/>
    </font>
    <font>
      <b/>
      <sz val="10"/>
      <color rgb="FFE74C3C"/>
      <name val="Calibri"/>
      <charset val="1"/>
    </font>
    <font>
      <b/>
      <sz val="10"/>
      <color rgb="FFB9770E"/>
      <name val="Calibri"/>
      <charset val="1"/>
    </font>
    <font>
      <b/>
      <sz val="10"/>
      <color rgb="FF2E86C1"/>
      <name val="Calibri"/>
      <charset val="1"/>
    </font>
    <font>
      <b/>
      <sz val="10"/>
      <color rgb="FFCA6F1E"/>
      <name val="Calibri"/>
      <charset val="1"/>
    </font>
    <font>
      <b/>
      <sz val="10"/>
      <color rgb="FFC0392B"/>
      <name val="Calibri"/>
      <charset val="1"/>
    </font>
    <font>
      <b/>
      <sz val="14"/>
      <color rgb="FFFFFFFF"/>
      <name val="Calibri"/>
      <charset val="1"/>
    </font>
    <font>
      <sz val="9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E7D32"/>
        <bgColor rgb="FF229954"/>
      </patternFill>
    </fill>
    <fill>
      <patternFill patternType="solid">
        <fgColor rgb="FFC62828"/>
        <bgColor rgb="FFC0392B"/>
      </patternFill>
    </fill>
    <fill>
      <patternFill patternType="solid">
        <fgColor rgb="FFF9A825"/>
        <bgColor rgb="FFFFCC00"/>
      </patternFill>
    </fill>
    <fill>
      <patternFill patternType="solid">
        <fgColor rgb="FF757575"/>
        <bgColor rgb="FF66666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444444"/>
        <bgColor rgb="FF1F2A4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18" fillId="0" borderId="0" xfId="0" applyFont="1"/>
    <xf numFmtId="0" fontId="17" fillId="2" borderId="0" xfId="0" applyFont="1" applyFill="1" applyAlignment="1">
      <alignment horizontal="center" vertical="center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9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0" borderId="0" xfId="0" applyFont="1"/>
    <xf numFmtId="0" fontId="26" fillId="9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666666"/>
      </font>
      <fill>
        <patternFill>
          <bgColor rgb="FFE0E0E0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2E7D32"/>
      <rgbColor rgb="FFC0C0C0"/>
      <rgbColor rgb="FF757575"/>
      <rgbColor rgb="FF9999FF"/>
      <rgbColor rgb="FFC62828"/>
      <rgbColor rgb="FFF2F2F2"/>
      <rgbColor rgb="FFE0E0E0"/>
      <rgbColor rgb="FF660066"/>
      <rgbColor rgb="FFCA6F1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7AE6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86C1"/>
      <rgbColor rgb="FF33CCCC"/>
      <rgbColor rgb="FF99CC00"/>
      <rgbColor rgb="FFFFCC00"/>
      <rgbColor rgb="FFF9A825"/>
      <rgbColor rgb="FFE74C3C"/>
      <rgbColor rgb="FF666666"/>
      <rgbColor rgb="FFB9770E"/>
      <rgbColor rgb="FF003366"/>
      <rgbColor rgb="FF229954"/>
      <rgbColor rgb="FF003300"/>
      <rgbColor rgb="FF444444"/>
      <rgbColor rgb="FFC0392B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6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10" width="15" customWidth="1"/>
  </cols>
  <sheetData>
    <row r="2" spans="2:11" ht="28.8" x14ac:dyDescent="0.55000000000000004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1" ht="15.6" x14ac:dyDescent="0.3">
      <c r="B3" s="11" t="s">
        <v>1</v>
      </c>
      <c r="C3" s="11"/>
      <c r="D3" s="11"/>
      <c r="E3" s="11"/>
      <c r="F3" s="11"/>
      <c r="G3" s="11"/>
      <c r="H3" s="11"/>
      <c r="I3" s="11"/>
      <c r="J3" s="11"/>
    </row>
    <row r="4" spans="2:11" x14ac:dyDescent="0.3">
      <c r="B4" s="10" t="s">
        <v>2</v>
      </c>
      <c r="C4" s="10"/>
      <c r="D4" s="10"/>
      <c r="E4" s="10"/>
      <c r="F4" s="10"/>
      <c r="G4" s="10"/>
      <c r="H4" s="10"/>
      <c r="I4" s="10"/>
      <c r="J4" s="10"/>
    </row>
    <row r="7" spans="2:11" ht="21.75" customHeight="1" x14ac:dyDescent="0.3">
      <c r="B7" s="9" t="s">
        <v>3</v>
      </c>
      <c r="C7" s="9"/>
      <c r="D7" s="8" t="s">
        <v>4</v>
      </c>
      <c r="E7" s="8"/>
      <c r="F7" s="7" t="s">
        <v>5</v>
      </c>
      <c r="G7" s="7"/>
      <c r="H7" s="6" t="s">
        <v>6</v>
      </c>
      <c r="I7" s="6"/>
      <c r="J7" s="5" t="s">
        <v>7</v>
      </c>
      <c r="K7" s="5"/>
    </row>
    <row r="8" spans="2:11" ht="33.75" customHeight="1" x14ac:dyDescent="0.3">
      <c r="B8" s="4">
        <f>COUNTA('API Test Cases'!A5:A1000)</f>
        <v>80</v>
      </c>
      <c r="C8" s="4"/>
      <c r="D8" s="3">
        <f>COUNTIF('API Test Cases'!J5:J1000,"Pass")</f>
        <v>68</v>
      </c>
      <c r="E8" s="3"/>
      <c r="F8" s="2">
        <f>COUNTIF('API Test Cases'!J5:J1000,"Fail")</f>
        <v>12</v>
      </c>
      <c r="G8" s="2"/>
      <c r="H8" s="1">
        <f>COUNTIF('API Test Cases'!J5:J1000,"Blocked")</f>
        <v>0</v>
      </c>
      <c r="I8" s="1"/>
      <c r="J8" s="36">
        <f>COUNTIF('API Test Cases'!J5:J1000,"Not Executed")</f>
        <v>0</v>
      </c>
      <c r="K8" s="36"/>
    </row>
    <row r="11" spans="2:11" ht="15.6" x14ac:dyDescent="0.3">
      <c r="B11" s="37" t="s">
        <v>8</v>
      </c>
      <c r="C11" s="37"/>
      <c r="E11" s="37" t="s">
        <v>9</v>
      </c>
      <c r="F11" s="37"/>
      <c r="H11" s="37" t="s">
        <v>10</v>
      </c>
      <c r="I11" s="37"/>
    </row>
    <row r="12" spans="2:11" x14ac:dyDescent="0.3">
      <c r="B12" s="15" t="s">
        <v>11</v>
      </c>
      <c r="C12" s="16">
        <f>COUNTIF('API Test Cases'!I5:I1000,"High")</f>
        <v>43</v>
      </c>
      <c r="E12" s="16" t="s">
        <v>12</v>
      </c>
      <c r="F12" s="16">
        <f>COUNTIF('API Test Cases'!D5:D1000,"GET")</f>
        <v>26</v>
      </c>
      <c r="H12" s="17" t="s">
        <v>13</v>
      </c>
      <c r="I12" s="18">
        <f>COUNTIF('API Test Cases'!B5:B1000,"Authentication")</f>
        <v>10</v>
      </c>
    </row>
    <row r="13" spans="2:11" x14ac:dyDescent="0.3">
      <c r="B13" s="19" t="s">
        <v>14</v>
      </c>
      <c r="C13" s="16">
        <f>COUNTIF('API Test Cases'!I5:I1000,"Medium")</f>
        <v>37</v>
      </c>
      <c r="E13" s="16" t="s">
        <v>15</v>
      </c>
      <c r="F13" s="16">
        <f>COUNTIF('API Test Cases'!D5:D1000,"POST")</f>
        <v>48</v>
      </c>
      <c r="H13" s="17" t="s">
        <v>16</v>
      </c>
      <c r="I13" s="18">
        <f>COUNTIF('API Test Cases'!B5:B1000,"Student")</f>
        <v>9</v>
      </c>
    </row>
    <row r="14" spans="2:11" x14ac:dyDescent="0.3">
      <c r="B14" s="20" t="s">
        <v>17</v>
      </c>
      <c r="C14" s="16">
        <f>COUNTIF('API Test Cases'!I5:I1000,"Low")</f>
        <v>0</v>
      </c>
      <c r="E14" s="16" t="s">
        <v>18</v>
      </c>
      <c r="F14" s="16">
        <f>COUNTIF('API Test Cases'!D5:D1000,"PUT")</f>
        <v>3</v>
      </c>
      <c r="H14" s="17" t="s">
        <v>19</v>
      </c>
      <c r="I14" s="18">
        <f>COUNTIF('API Test Cases'!B5:B1000,"Admission")</f>
        <v>6</v>
      </c>
    </row>
    <row r="15" spans="2:11" x14ac:dyDescent="0.3">
      <c r="E15" s="16" t="s">
        <v>20</v>
      </c>
      <c r="F15" s="16">
        <f>COUNTIF('API Test Cases'!D5:D1000,"DELETE")</f>
        <v>3</v>
      </c>
      <c r="H15" s="17" t="s">
        <v>21</v>
      </c>
      <c r="I15" s="18">
        <f>COUNTIF('API Test Cases'!B5:B1000,"Teacher")</f>
        <v>5</v>
      </c>
    </row>
    <row r="16" spans="2:11" x14ac:dyDescent="0.3">
      <c r="H16" s="17" t="s">
        <v>22</v>
      </c>
      <c r="I16" s="18">
        <f>COUNTIF('API Test Cases'!B5:B1000,"Attendance")</f>
        <v>5</v>
      </c>
    </row>
    <row r="17" spans="8:9" x14ac:dyDescent="0.3">
      <c r="H17" s="17" t="s">
        <v>23</v>
      </c>
      <c r="I17" s="18">
        <f>COUNTIF('API Test Cases'!B5:B1000,"Homework")</f>
        <v>5</v>
      </c>
    </row>
    <row r="18" spans="8:9" x14ac:dyDescent="0.3">
      <c r="H18" s="17" t="s">
        <v>24</v>
      </c>
      <c r="I18" s="18">
        <f>COUNTIF('API Test Cases'!B5:B1000,"Examination")</f>
        <v>7</v>
      </c>
    </row>
    <row r="19" spans="8:9" x14ac:dyDescent="0.3">
      <c r="H19" s="17" t="s">
        <v>25</v>
      </c>
      <c r="I19" s="18">
        <f>COUNTIF('API Test Cases'!B5:B1000,"Finance")</f>
        <v>5</v>
      </c>
    </row>
    <row r="20" spans="8:9" x14ac:dyDescent="0.3">
      <c r="H20" s="17" t="s">
        <v>26</v>
      </c>
      <c r="I20" s="18">
        <f>COUNTIF('API Test Cases'!B5:B1000,"Accounts")</f>
        <v>4</v>
      </c>
    </row>
    <row r="21" spans="8:9" x14ac:dyDescent="0.3">
      <c r="H21" s="17" t="s">
        <v>27</v>
      </c>
      <c r="I21" s="18">
        <f>COUNTIF('API Test Cases'!B5:B1000,"Communication")</f>
        <v>3</v>
      </c>
    </row>
    <row r="22" spans="8:9" x14ac:dyDescent="0.3">
      <c r="H22" s="17" t="s">
        <v>28</v>
      </c>
      <c r="I22" s="18">
        <f>COUNTIF('API Test Cases'!B5:B1000,"Library")</f>
        <v>3</v>
      </c>
    </row>
    <row r="23" spans="8:9" x14ac:dyDescent="0.3">
      <c r="H23" s="17" t="s">
        <v>29</v>
      </c>
      <c r="I23" s="18">
        <f>COUNTIF('API Test Cases'!B5:B1000,"Inventory")</f>
        <v>3</v>
      </c>
    </row>
    <row r="24" spans="8:9" x14ac:dyDescent="0.3">
      <c r="H24" s="17" t="s">
        <v>30</v>
      </c>
      <c r="I24" s="18">
        <f>COUNTIF('API Test Cases'!B5:B1000,"Transport")</f>
        <v>2</v>
      </c>
    </row>
    <row r="25" spans="8:9" x14ac:dyDescent="0.3">
      <c r="H25" s="17" t="s">
        <v>31</v>
      </c>
      <c r="I25" s="18">
        <f>COUNTIF('API Test Cases'!B5:B1000,"Reports")</f>
        <v>4</v>
      </c>
    </row>
    <row r="26" spans="8:9" x14ac:dyDescent="0.3">
      <c r="H26" s="17" t="s">
        <v>32</v>
      </c>
      <c r="I26" s="18">
        <f>COUNTIF('API Test Cases'!B5:B1000,"Security")</f>
        <v>9</v>
      </c>
    </row>
  </sheetData>
  <mergeCells count="16">
    <mergeCell ref="B11:C11"/>
    <mergeCell ref="E11:F11"/>
    <mergeCell ref="H11:I11"/>
    <mergeCell ref="B8:C8"/>
    <mergeCell ref="D8:E8"/>
    <mergeCell ref="F8:G8"/>
    <mergeCell ref="H8:I8"/>
    <mergeCell ref="J8:K8"/>
    <mergeCell ref="B2:J2"/>
    <mergeCell ref="B3:J3"/>
    <mergeCell ref="B4:J4"/>
    <mergeCell ref="B7:C7"/>
    <mergeCell ref="D7:E7"/>
    <mergeCell ref="F7:G7"/>
    <mergeCell ref="H7:I7"/>
    <mergeCell ref="J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4"/>
  <sheetViews>
    <sheetView showGridLines="0" tabSelected="1" zoomScaleNormal="100" workbookViewId="0">
      <pane ySplit="4" topLeftCell="A71" activePane="bottomLeft" state="frozen"/>
      <selection pane="bottomLeft" sqref="A1:J1"/>
    </sheetView>
  </sheetViews>
  <sheetFormatPr defaultColWidth="8.6640625" defaultRowHeight="14.4" x14ac:dyDescent="0.3"/>
  <cols>
    <col min="1" max="1" width="10" customWidth="1"/>
    <col min="2" max="2" width="15" customWidth="1"/>
    <col min="3" max="3" width="18" customWidth="1"/>
    <col min="4" max="4" width="10" customWidth="1"/>
    <col min="5" max="5" width="34" customWidth="1"/>
    <col min="6" max="6" width="24" customWidth="1"/>
    <col min="7" max="7" width="22" customWidth="1"/>
    <col min="8" max="8" width="38" customWidth="1"/>
    <col min="9" max="9" width="10" customWidth="1"/>
    <col min="10" max="10" width="14" customWidth="1"/>
  </cols>
  <sheetData>
    <row r="1" spans="1:10" ht="27.75" customHeight="1" x14ac:dyDescent="0.3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7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6" customHeight="1" x14ac:dyDescent="0.3"/>
    <row r="4" spans="1:10" ht="31.5" customHeight="1" x14ac:dyDescent="0.3">
      <c r="A4" s="21" t="s">
        <v>34</v>
      </c>
      <c r="B4" s="21" t="s">
        <v>35</v>
      </c>
      <c r="C4" s="21" t="s">
        <v>36</v>
      </c>
      <c r="D4" s="21" t="s">
        <v>37</v>
      </c>
      <c r="E4" s="21" t="s">
        <v>38</v>
      </c>
      <c r="F4" s="21" t="s">
        <v>39</v>
      </c>
      <c r="G4" s="21" t="s">
        <v>40</v>
      </c>
      <c r="H4" s="21" t="s">
        <v>41</v>
      </c>
      <c r="I4" s="21" t="s">
        <v>42</v>
      </c>
      <c r="J4" s="21" t="s">
        <v>43</v>
      </c>
    </row>
    <row r="5" spans="1:10" ht="31.5" customHeight="1" x14ac:dyDescent="0.3">
      <c r="A5" s="22" t="s">
        <v>44</v>
      </c>
      <c r="B5" s="22" t="s">
        <v>13</v>
      </c>
      <c r="C5" s="22" t="s">
        <v>45</v>
      </c>
      <c r="D5" s="23" t="s">
        <v>15</v>
      </c>
      <c r="E5" s="24" t="s">
        <v>46</v>
      </c>
      <c r="F5" s="24" t="s">
        <v>47</v>
      </c>
      <c r="G5" s="22" t="s">
        <v>48</v>
      </c>
      <c r="H5" s="24" t="s">
        <v>49</v>
      </c>
      <c r="I5" s="25" t="s">
        <v>11</v>
      </c>
      <c r="J5" s="26" t="s">
        <v>50</v>
      </c>
    </row>
    <row r="6" spans="1:10" ht="31.5" customHeight="1" x14ac:dyDescent="0.3">
      <c r="A6" s="27" t="s">
        <v>51</v>
      </c>
      <c r="B6" s="27" t="s">
        <v>13</v>
      </c>
      <c r="C6" s="27" t="s">
        <v>45</v>
      </c>
      <c r="D6" s="23" t="s">
        <v>15</v>
      </c>
      <c r="E6" s="28" t="s">
        <v>52</v>
      </c>
      <c r="F6" s="28" t="s">
        <v>53</v>
      </c>
      <c r="G6" s="27" t="s">
        <v>54</v>
      </c>
      <c r="H6" s="28" t="s">
        <v>55</v>
      </c>
      <c r="I6" s="25" t="s">
        <v>11</v>
      </c>
      <c r="J6" s="26" t="s">
        <v>56</v>
      </c>
    </row>
    <row r="7" spans="1:10" ht="31.5" customHeight="1" x14ac:dyDescent="0.3">
      <c r="A7" s="22" t="s">
        <v>57</v>
      </c>
      <c r="B7" s="22" t="s">
        <v>13</v>
      </c>
      <c r="C7" s="22" t="s">
        <v>45</v>
      </c>
      <c r="D7" s="23" t="s">
        <v>15</v>
      </c>
      <c r="E7" s="24" t="s">
        <v>58</v>
      </c>
      <c r="F7" s="24" t="s">
        <v>59</v>
      </c>
      <c r="G7" s="22" t="s">
        <v>54</v>
      </c>
      <c r="H7" s="24" t="s">
        <v>60</v>
      </c>
      <c r="I7" s="25" t="s">
        <v>11</v>
      </c>
      <c r="J7" s="26" t="s">
        <v>56</v>
      </c>
    </row>
    <row r="8" spans="1:10" ht="31.5" customHeight="1" x14ac:dyDescent="0.3">
      <c r="A8" s="27" t="s">
        <v>61</v>
      </c>
      <c r="B8" s="27" t="s">
        <v>13</v>
      </c>
      <c r="C8" s="27" t="s">
        <v>45</v>
      </c>
      <c r="D8" s="23" t="s">
        <v>15</v>
      </c>
      <c r="E8" s="28" t="s">
        <v>62</v>
      </c>
      <c r="F8" s="28" t="s">
        <v>63</v>
      </c>
      <c r="G8" s="27" t="s">
        <v>64</v>
      </c>
      <c r="H8" s="28" t="s">
        <v>65</v>
      </c>
      <c r="I8" s="25" t="s">
        <v>11</v>
      </c>
      <c r="J8" s="26" t="s">
        <v>56</v>
      </c>
    </row>
    <row r="9" spans="1:10" ht="31.5" customHeight="1" x14ac:dyDescent="0.3">
      <c r="A9" s="22" t="s">
        <v>66</v>
      </c>
      <c r="B9" s="22" t="s">
        <v>13</v>
      </c>
      <c r="C9" s="22" t="s">
        <v>45</v>
      </c>
      <c r="D9" s="23" t="s">
        <v>15</v>
      </c>
      <c r="E9" s="24" t="s">
        <v>67</v>
      </c>
      <c r="F9" s="24" t="s">
        <v>68</v>
      </c>
      <c r="G9" s="22" t="s">
        <v>64</v>
      </c>
      <c r="H9" s="24" t="s">
        <v>69</v>
      </c>
      <c r="I9" s="25" t="s">
        <v>11</v>
      </c>
      <c r="J9" s="26" t="s">
        <v>56</v>
      </c>
    </row>
    <row r="10" spans="1:10" ht="31.5" customHeight="1" x14ac:dyDescent="0.3">
      <c r="A10" s="27" t="s">
        <v>70</v>
      </c>
      <c r="B10" s="27" t="s">
        <v>13</v>
      </c>
      <c r="C10" s="27" t="s">
        <v>45</v>
      </c>
      <c r="D10" s="23" t="s">
        <v>15</v>
      </c>
      <c r="E10" s="28" t="s">
        <v>71</v>
      </c>
      <c r="F10" s="28" t="s">
        <v>72</v>
      </c>
      <c r="G10" s="27" t="s">
        <v>64</v>
      </c>
      <c r="H10" s="28" t="s">
        <v>73</v>
      </c>
      <c r="I10" s="25" t="s">
        <v>11</v>
      </c>
      <c r="J10" s="26" t="s">
        <v>56</v>
      </c>
    </row>
    <row r="11" spans="1:10" ht="31.5" customHeight="1" x14ac:dyDescent="0.3">
      <c r="A11" s="22" t="s">
        <v>74</v>
      </c>
      <c r="B11" s="22" t="s">
        <v>13</v>
      </c>
      <c r="C11" s="22" t="s">
        <v>45</v>
      </c>
      <c r="D11" s="23" t="s">
        <v>15</v>
      </c>
      <c r="E11" s="24" t="s">
        <v>75</v>
      </c>
      <c r="F11" s="24" t="s">
        <v>76</v>
      </c>
      <c r="G11" s="22" t="s">
        <v>77</v>
      </c>
      <c r="H11" s="24" t="s">
        <v>78</v>
      </c>
      <c r="I11" s="25" t="s">
        <v>11</v>
      </c>
      <c r="J11" s="26" t="s">
        <v>56</v>
      </c>
    </row>
    <row r="12" spans="1:10" ht="31.5" customHeight="1" x14ac:dyDescent="0.3">
      <c r="A12" s="27" t="s">
        <v>79</v>
      </c>
      <c r="B12" s="27" t="s">
        <v>13</v>
      </c>
      <c r="C12" s="27" t="s">
        <v>45</v>
      </c>
      <c r="D12" s="23" t="s">
        <v>15</v>
      </c>
      <c r="E12" s="28" t="s">
        <v>80</v>
      </c>
      <c r="F12" s="28" t="s">
        <v>81</v>
      </c>
      <c r="G12" s="27" t="s">
        <v>82</v>
      </c>
      <c r="H12" s="28" t="s">
        <v>83</v>
      </c>
      <c r="I12" s="29" t="s">
        <v>14</v>
      </c>
      <c r="J12" s="26" t="s">
        <v>50</v>
      </c>
    </row>
    <row r="13" spans="1:10" ht="31.5" customHeight="1" x14ac:dyDescent="0.3">
      <c r="A13" s="22" t="s">
        <v>84</v>
      </c>
      <c r="B13" s="22" t="s">
        <v>13</v>
      </c>
      <c r="C13" s="22" t="s">
        <v>85</v>
      </c>
      <c r="D13" s="23" t="s">
        <v>15</v>
      </c>
      <c r="E13" s="24" t="s">
        <v>86</v>
      </c>
      <c r="F13" s="24" t="s">
        <v>87</v>
      </c>
      <c r="G13" s="22" t="s">
        <v>48</v>
      </c>
      <c r="H13" s="24" t="s">
        <v>88</v>
      </c>
      <c r="I13" s="29" t="s">
        <v>14</v>
      </c>
      <c r="J13" s="26" t="s">
        <v>56</v>
      </c>
    </row>
    <row r="14" spans="1:10" ht="31.5" customHeight="1" x14ac:dyDescent="0.3">
      <c r="A14" s="27" t="s">
        <v>89</v>
      </c>
      <c r="B14" s="27" t="s">
        <v>13</v>
      </c>
      <c r="C14" s="27" t="s">
        <v>85</v>
      </c>
      <c r="D14" s="23" t="s">
        <v>15</v>
      </c>
      <c r="E14" s="28" t="s">
        <v>90</v>
      </c>
      <c r="F14" s="28" t="s">
        <v>91</v>
      </c>
      <c r="G14" s="27" t="s">
        <v>54</v>
      </c>
      <c r="H14" s="28" t="s">
        <v>92</v>
      </c>
      <c r="I14" s="25" t="s">
        <v>11</v>
      </c>
      <c r="J14" s="26" t="s">
        <v>56</v>
      </c>
    </row>
    <row r="15" spans="1:10" ht="31.5" customHeight="1" x14ac:dyDescent="0.3">
      <c r="A15" s="22" t="s">
        <v>93</v>
      </c>
      <c r="B15" s="22" t="s">
        <v>16</v>
      </c>
      <c r="C15" s="22" t="s">
        <v>94</v>
      </c>
      <c r="D15" s="30" t="s">
        <v>12</v>
      </c>
      <c r="E15" s="24" t="s">
        <v>95</v>
      </c>
      <c r="F15" s="24" t="s">
        <v>96</v>
      </c>
      <c r="G15" s="22" t="s">
        <v>48</v>
      </c>
      <c r="H15" s="24" t="s">
        <v>97</v>
      </c>
      <c r="I15" s="25" t="s">
        <v>11</v>
      </c>
      <c r="J15" s="26" t="s">
        <v>56</v>
      </c>
    </row>
    <row r="16" spans="1:10" ht="31.5" customHeight="1" x14ac:dyDescent="0.3">
      <c r="A16" s="27" t="s">
        <v>98</v>
      </c>
      <c r="B16" s="27" t="s">
        <v>16</v>
      </c>
      <c r="C16" s="27" t="s">
        <v>94</v>
      </c>
      <c r="D16" s="30" t="s">
        <v>12</v>
      </c>
      <c r="E16" s="28" t="s">
        <v>99</v>
      </c>
      <c r="F16" s="28" t="s">
        <v>100</v>
      </c>
      <c r="G16" s="27" t="s">
        <v>54</v>
      </c>
      <c r="H16" s="28" t="s">
        <v>92</v>
      </c>
      <c r="I16" s="25" t="s">
        <v>11</v>
      </c>
      <c r="J16" s="26" t="s">
        <v>56</v>
      </c>
    </row>
    <row r="17" spans="1:10" ht="31.5" customHeight="1" x14ac:dyDescent="0.3">
      <c r="A17" s="22" t="s">
        <v>101</v>
      </c>
      <c r="B17" s="22" t="s">
        <v>16</v>
      </c>
      <c r="C17" s="22" t="s">
        <v>102</v>
      </c>
      <c r="D17" s="23" t="s">
        <v>15</v>
      </c>
      <c r="E17" s="24" t="s">
        <v>103</v>
      </c>
      <c r="F17" s="24" t="s">
        <v>104</v>
      </c>
      <c r="G17" s="22" t="s">
        <v>105</v>
      </c>
      <c r="H17" s="24" t="s">
        <v>106</v>
      </c>
      <c r="I17" s="25" t="s">
        <v>11</v>
      </c>
      <c r="J17" s="26" t="s">
        <v>56</v>
      </c>
    </row>
    <row r="18" spans="1:10" ht="31.5" customHeight="1" x14ac:dyDescent="0.3">
      <c r="A18" s="27" t="s">
        <v>107</v>
      </c>
      <c r="B18" s="27" t="s">
        <v>16</v>
      </c>
      <c r="C18" s="27" t="s">
        <v>102</v>
      </c>
      <c r="D18" s="23" t="s">
        <v>15</v>
      </c>
      <c r="E18" s="28" t="s">
        <v>108</v>
      </c>
      <c r="F18" s="28" t="s">
        <v>109</v>
      </c>
      <c r="G18" s="27" t="s">
        <v>64</v>
      </c>
      <c r="H18" s="28" t="s">
        <v>110</v>
      </c>
      <c r="I18" s="25" t="s">
        <v>11</v>
      </c>
      <c r="J18" s="26" t="s">
        <v>50</v>
      </c>
    </row>
    <row r="19" spans="1:10" ht="31.5" customHeight="1" x14ac:dyDescent="0.3">
      <c r="A19" s="22" t="s">
        <v>111</v>
      </c>
      <c r="B19" s="22" t="s">
        <v>16</v>
      </c>
      <c r="C19" s="22" t="s">
        <v>102</v>
      </c>
      <c r="D19" s="23" t="s">
        <v>15</v>
      </c>
      <c r="E19" s="24" t="s">
        <v>112</v>
      </c>
      <c r="F19" s="24" t="s">
        <v>113</v>
      </c>
      <c r="G19" s="22" t="s">
        <v>114</v>
      </c>
      <c r="H19" s="24" t="s">
        <v>115</v>
      </c>
      <c r="I19" s="25" t="s">
        <v>11</v>
      </c>
      <c r="J19" s="26" t="s">
        <v>56</v>
      </c>
    </row>
    <row r="20" spans="1:10" ht="31.5" customHeight="1" x14ac:dyDescent="0.3">
      <c r="A20" s="27" t="s">
        <v>116</v>
      </c>
      <c r="B20" s="27" t="s">
        <v>16</v>
      </c>
      <c r="C20" s="27" t="s">
        <v>117</v>
      </c>
      <c r="D20" s="31" t="s">
        <v>18</v>
      </c>
      <c r="E20" s="28" t="s">
        <v>118</v>
      </c>
      <c r="F20" s="28" t="s">
        <v>119</v>
      </c>
      <c r="G20" s="27" t="s">
        <v>48</v>
      </c>
      <c r="H20" s="28" t="s">
        <v>120</v>
      </c>
      <c r="I20" s="25" t="s">
        <v>11</v>
      </c>
      <c r="J20" s="26" t="s">
        <v>56</v>
      </c>
    </row>
    <row r="21" spans="1:10" ht="31.5" customHeight="1" x14ac:dyDescent="0.3">
      <c r="A21" s="22" t="s">
        <v>121</v>
      </c>
      <c r="B21" s="22" t="s">
        <v>16</v>
      </c>
      <c r="C21" s="22" t="s">
        <v>117</v>
      </c>
      <c r="D21" s="31" t="s">
        <v>18</v>
      </c>
      <c r="E21" s="24" t="s">
        <v>122</v>
      </c>
      <c r="F21" s="24" t="s">
        <v>123</v>
      </c>
      <c r="G21" s="22" t="s">
        <v>124</v>
      </c>
      <c r="H21" s="24" t="s">
        <v>125</v>
      </c>
      <c r="I21" s="29" t="s">
        <v>14</v>
      </c>
      <c r="J21" s="26" t="s">
        <v>56</v>
      </c>
    </row>
    <row r="22" spans="1:10" ht="31.5" customHeight="1" x14ac:dyDescent="0.3">
      <c r="A22" s="27" t="s">
        <v>126</v>
      </c>
      <c r="B22" s="27" t="s">
        <v>16</v>
      </c>
      <c r="C22" s="27" t="s">
        <v>127</v>
      </c>
      <c r="D22" s="32" t="s">
        <v>20</v>
      </c>
      <c r="E22" s="28" t="s">
        <v>128</v>
      </c>
      <c r="F22" s="28" t="s">
        <v>129</v>
      </c>
      <c r="G22" s="27" t="s">
        <v>48</v>
      </c>
      <c r="H22" s="28" t="s">
        <v>130</v>
      </c>
      <c r="I22" s="25" t="s">
        <v>11</v>
      </c>
      <c r="J22" s="26" t="s">
        <v>56</v>
      </c>
    </row>
    <row r="23" spans="1:10" ht="31.5" customHeight="1" x14ac:dyDescent="0.3">
      <c r="A23" s="22" t="s">
        <v>131</v>
      </c>
      <c r="B23" s="22" t="s">
        <v>16</v>
      </c>
      <c r="C23" s="22" t="s">
        <v>127</v>
      </c>
      <c r="D23" s="32" t="s">
        <v>20</v>
      </c>
      <c r="E23" s="24" t="s">
        <v>132</v>
      </c>
      <c r="F23" s="24" t="s">
        <v>123</v>
      </c>
      <c r="G23" s="22" t="s">
        <v>124</v>
      </c>
      <c r="H23" s="24" t="s">
        <v>133</v>
      </c>
      <c r="I23" s="29" t="s">
        <v>14</v>
      </c>
      <c r="J23" s="26" t="s">
        <v>56</v>
      </c>
    </row>
    <row r="24" spans="1:10" ht="31.5" customHeight="1" x14ac:dyDescent="0.3">
      <c r="A24" s="27" t="s">
        <v>134</v>
      </c>
      <c r="B24" s="27" t="s">
        <v>19</v>
      </c>
      <c r="C24" s="27" t="s">
        <v>135</v>
      </c>
      <c r="D24" s="30" t="s">
        <v>12</v>
      </c>
      <c r="E24" s="28" t="s">
        <v>136</v>
      </c>
      <c r="F24" s="28" t="s">
        <v>96</v>
      </c>
      <c r="G24" s="27" t="s">
        <v>48</v>
      </c>
      <c r="H24" s="28" t="s">
        <v>137</v>
      </c>
      <c r="I24" s="25" t="s">
        <v>11</v>
      </c>
      <c r="J24" s="26" t="s">
        <v>56</v>
      </c>
    </row>
    <row r="25" spans="1:10" ht="31.5" customHeight="1" x14ac:dyDescent="0.3">
      <c r="A25" s="22" t="s">
        <v>138</v>
      </c>
      <c r="B25" s="22" t="s">
        <v>19</v>
      </c>
      <c r="C25" s="22" t="s">
        <v>139</v>
      </c>
      <c r="D25" s="23" t="s">
        <v>15</v>
      </c>
      <c r="E25" s="24" t="s">
        <v>140</v>
      </c>
      <c r="F25" s="24" t="s">
        <v>104</v>
      </c>
      <c r="G25" s="22" t="s">
        <v>105</v>
      </c>
      <c r="H25" s="24" t="s">
        <v>141</v>
      </c>
      <c r="I25" s="25" t="s">
        <v>11</v>
      </c>
      <c r="J25" s="26" t="s">
        <v>50</v>
      </c>
    </row>
    <row r="26" spans="1:10" ht="31.5" customHeight="1" x14ac:dyDescent="0.3">
      <c r="A26" s="27" t="s">
        <v>142</v>
      </c>
      <c r="B26" s="27" t="s">
        <v>19</v>
      </c>
      <c r="C26" s="27" t="s">
        <v>139</v>
      </c>
      <c r="D26" s="23" t="s">
        <v>15</v>
      </c>
      <c r="E26" s="28" t="s">
        <v>143</v>
      </c>
      <c r="F26" s="28" t="s">
        <v>144</v>
      </c>
      <c r="G26" s="27" t="s">
        <v>64</v>
      </c>
      <c r="H26" s="28" t="s">
        <v>145</v>
      </c>
      <c r="I26" s="25" t="s">
        <v>11</v>
      </c>
      <c r="J26" s="26" t="s">
        <v>56</v>
      </c>
    </row>
    <row r="27" spans="1:10" ht="31.5" customHeight="1" x14ac:dyDescent="0.3">
      <c r="A27" s="22" t="s">
        <v>146</v>
      </c>
      <c r="B27" s="22" t="s">
        <v>19</v>
      </c>
      <c r="C27" s="22" t="s">
        <v>139</v>
      </c>
      <c r="D27" s="23" t="s">
        <v>15</v>
      </c>
      <c r="E27" s="24" t="s">
        <v>147</v>
      </c>
      <c r="F27" s="24" t="s">
        <v>148</v>
      </c>
      <c r="G27" s="22" t="s">
        <v>64</v>
      </c>
      <c r="H27" s="24" t="s">
        <v>149</v>
      </c>
      <c r="I27" s="29" t="s">
        <v>14</v>
      </c>
      <c r="J27" s="26" t="s">
        <v>56</v>
      </c>
    </row>
    <row r="28" spans="1:10" ht="31.5" customHeight="1" x14ac:dyDescent="0.3">
      <c r="A28" s="27" t="s">
        <v>150</v>
      </c>
      <c r="B28" s="27" t="s">
        <v>19</v>
      </c>
      <c r="C28" s="27" t="s">
        <v>139</v>
      </c>
      <c r="D28" s="23" t="s">
        <v>15</v>
      </c>
      <c r="E28" s="28" t="s">
        <v>151</v>
      </c>
      <c r="F28" s="28" t="s">
        <v>113</v>
      </c>
      <c r="G28" s="27" t="s">
        <v>114</v>
      </c>
      <c r="H28" s="28" t="s">
        <v>152</v>
      </c>
      <c r="I28" s="25" t="s">
        <v>11</v>
      </c>
      <c r="J28" s="26" t="s">
        <v>56</v>
      </c>
    </row>
    <row r="29" spans="1:10" ht="31.5" customHeight="1" x14ac:dyDescent="0.3">
      <c r="A29" s="22" t="s">
        <v>153</v>
      </c>
      <c r="B29" s="22" t="s">
        <v>19</v>
      </c>
      <c r="C29" s="22" t="s">
        <v>154</v>
      </c>
      <c r="D29" s="23" t="s">
        <v>15</v>
      </c>
      <c r="E29" s="24" t="s">
        <v>155</v>
      </c>
      <c r="F29" s="24" t="s">
        <v>156</v>
      </c>
      <c r="G29" s="22" t="s">
        <v>48</v>
      </c>
      <c r="H29" s="24" t="s">
        <v>157</v>
      </c>
      <c r="I29" s="29" t="s">
        <v>14</v>
      </c>
      <c r="J29" s="26" t="s">
        <v>56</v>
      </c>
    </row>
    <row r="30" spans="1:10" ht="31.5" customHeight="1" x14ac:dyDescent="0.3">
      <c r="A30" s="27" t="s">
        <v>158</v>
      </c>
      <c r="B30" s="27" t="s">
        <v>21</v>
      </c>
      <c r="C30" s="27" t="s">
        <v>159</v>
      </c>
      <c r="D30" s="30" t="s">
        <v>12</v>
      </c>
      <c r="E30" s="28" t="s">
        <v>160</v>
      </c>
      <c r="F30" s="28" t="s">
        <v>96</v>
      </c>
      <c r="G30" s="27" t="s">
        <v>48</v>
      </c>
      <c r="H30" s="28" t="s">
        <v>161</v>
      </c>
      <c r="I30" s="25" t="s">
        <v>11</v>
      </c>
      <c r="J30" s="26" t="s">
        <v>56</v>
      </c>
    </row>
    <row r="31" spans="1:10" ht="31.5" customHeight="1" x14ac:dyDescent="0.3">
      <c r="A31" s="22" t="s">
        <v>162</v>
      </c>
      <c r="B31" s="22" t="s">
        <v>21</v>
      </c>
      <c r="C31" s="22" t="s">
        <v>163</v>
      </c>
      <c r="D31" s="23" t="s">
        <v>15</v>
      </c>
      <c r="E31" s="24" t="s">
        <v>164</v>
      </c>
      <c r="F31" s="24" t="s">
        <v>104</v>
      </c>
      <c r="G31" s="22" t="s">
        <v>105</v>
      </c>
      <c r="H31" s="24" t="s">
        <v>165</v>
      </c>
      <c r="I31" s="25" t="s">
        <v>11</v>
      </c>
      <c r="J31" s="26" t="s">
        <v>56</v>
      </c>
    </row>
    <row r="32" spans="1:10" ht="31.5" customHeight="1" x14ac:dyDescent="0.3">
      <c r="A32" s="27" t="s">
        <v>166</v>
      </c>
      <c r="B32" s="27" t="s">
        <v>21</v>
      </c>
      <c r="C32" s="27" t="s">
        <v>163</v>
      </c>
      <c r="D32" s="23" t="s">
        <v>15</v>
      </c>
      <c r="E32" s="28" t="s">
        <v>167</v>
      </c>
      <c r="F32" s="28" t="s">
        <v>168</v>
      </c>
      <c r="G32" s="27" t="s">
        <v>64</v>
      </c>
      <c r="H32" s="28" t="s">
        <v>169</v>
      </c>
      <c r="I32" s="29" t="s">
        <v>14</v>
      </c>
      <c r="J32" s="26" t="s">
        <v>50</v>
      </c>
    </row>
    <row r="33" spans="1:10" ht="31.5" customHeight="1" x14ac:dyDescent="0.3">
      <c r="A33" s="22" t="s">
        <v>170</v>
      </c>
      <c r="B33" s="22" t="s">
        <v>21</v>
      </c>
      <c r="C33" s="22" t="s">
        <v>171</v>
      </c>
      <c r="D33" s="31" t="s">
        <v>18</v>
      </c>
      <c r="E33" s="24" t="s">
        <v>172</v>
      </c>
      <c r="F33" s="24" t="s">
        <v>173</v>
      </c>
      <c r="G33" s="22" t="s">
        <v>48</v>
      </c>
      <c r="H33" s="24" t="s">
        <v>174</v>
      </c>
      <c r="I33" s="25" t="s">
        <v>11</v>
      </c>
      <c r="J33" s="26" t="s">
        <v>56</v>
      </c>
    </row>
    <row r="34" spans="1:10" ht="31.5" customHeight="1" x14ac:dyDescent="0.3">
      <c r="A34" s="27" t="s">
        <v>175</v>
      </c>
      <c r="B34" s="27" t="s">
        <v>21</v>
      </c>
      <c r="C34" s="27" t="s">
        <v>176</v>
      </c>
      <c r="D34" s="32" t="s">
        <v>20</v>
      </c>
      <c r="E34" s="28" t="s">
        <v>177</v>
      </c>
      <c r="F34" s="28" t="s">
        <v>178</v>
      </c>
      <c r="G34" s="27" t="s">
        <v>48</v>
      </c>
      <c r="H34" s="28" t="s">
        <v>179</v>
      </c>
      <c r="I34" s="29" t="s">
        <v>14</v>
      </c>
      <c r="J34" s="26" t="s">
        <v>56</v>
      </c>
    </row>
    <row r="35" spans="1:10" ht="31.5" customHeight="1" x14ac:dyDescent="0.3">
      <c r="A35" s="22" t="s">
        <v>180</v>
      </c>
      <c r="B35" s="22" t="s">
        <v>22</v>
      </c>
      <c r="C35" s="22" t="s">
        <v>181</v>
      </c>
      <c r="D35" s="30" t="s">
        <v>12</v>
      </c>
      <c r="E35" s="24" t="s">
        <v>182</v>
      </c>
      <c r="F35" s="24" t="s">
        <v>96</v>
      </c>
      <c r="G35" s="22" t="s">
        <v>48</v>
      </c>
      <c r="H35" s="24" t="s">
        <v>183</v>
      </c>
      <c r="I35" s="25" t="s">
        <v>11</v>
      </c>
      <c r="J35" s="26" t="s">
        <v>56</v>
      </c>
    </row>
    <row r="36" spans="1:10" ht="31.5" customHeight="1" x14ac:dyDescent="0.3">
      <c r="A36" s="27" t="s">
        <v>184</v>
      </c>
      <c r="B36" s="27" t="s">
        <v>22</v>
      </c>
      <c r="C36" s="27" t="s">
        <v>185</v>
      </c>
      <c r="D36" s="23" t="s">
        <v>15</v>
      </c>
      <c r="E36" s="28" t="s">
        <v>186</v>
      </c>
      <c r="F36" s="28" t="s">
        <v>104</v>
      </c>
      <c r="G36" s="27" t="s">
        <v>105</v>
      </c>
      <c r="H36" s="28" t="s">
        <v>187</v>
      </c>
      <c r="I36" s="25" t="s">
        <v>11</v>
      </c>
      <c r="J36" s="26" t="s">
        <v>56</v>
      </c>
    </row>
    <row r="37" spans="1:10" ht="31.5" customHeight="1" x14ac:dyDescent="0.3">
      <c r="A37" s="22" t="s">
        <v>188</v>
      </c>
      <c r="B37" s="22" t="s">
        <v>22</v>
      </c>
      <c r="C37" s="22" t="s">
        <v>185</v>
      </c>
      <c r="D37" s="23" t="s">
        <v>15</v>
      </c>
      <c r="E37" s="24" t="s">
        <v>189</v>
      </c>
      <c r="F37" s="24" t="s">
        <v>190</v>
      </c>
      <c r="G37" s="22" t="s">
        <v>114</v>
      </c>
      <c r="H37" s="24" t="s">
        <v>191</v>
      </c>
      <c r="I37" s="25" t="s">
        <v>11</v>
      </c>
      <c r="J37" s="26" t="s">
        <v>56</v>
      </c>
    </row>
    <row r="38" spans="1:10" ht="31.5" customHeight="1" x14ac:dyDescent="0.3">
      <c r="A38" s="27" t="s">
        <v>192</v>
      </c>
      <c r="B38" s="27" t="s">
        <v>22</v>
      </c>
      <c r="C38" s="27" t="s">
        <v>185</v>
      </c>
      <c r="D38" s="23" t="s">
        <v>15</v>
      </c>
      <c r="E38" s="28" t="s">
        <v>193</v>
      </c>
      <c r="F38" s="28" t="s">
        <v>194</v>
      </c>
      <c r="G38" s="27" t="s">
        <v>64</v>
      </c>
      <c r="H38" s="28" t="s">
        <v>195</v>
      </c>
      <c r="I38" s="29" t="s">
        <v>14</v>
      </c>
      <c r="J38" s="26" t="s">
        <v>50</v>
      </c>
    </row>
    <row r="39" spans="1:10" ht="31.5" customHeight="1" x14ac:dyDescent="0.3">
      <c r="A39" s="22" t="s">
        <v>196</v>
      </c>
      <c r="B39" s="22" t="s">
        <v>22</v>
      </c>
      <c r="C39" s="22" t="s">
        <v>181</v>
      </c>
      <c r="D39" s="30" t="s">
        <v>12</v>
      </c>
      <c r="E39" s="24" t="s">
        <v>197</v>
      </c>
      <c r="F39" s="24" t="s">
        <v>100</v>
      </c>
      <c r="G39" s="22" t="s">
        <v>54</v>
      </c>
      <c r="H39" s="24" t="s">
        <v>198</v>
      </c>
      <c r="I39" s="25" t="s">
        <v>11</v>
      </c>
      <c r="J39" s="26" t="s">
        <v>56</v>
      </c>
    </row>
    <row r="40" spans="1:10" ht="31.5" customHeight="1" x14ac:dyDescent="0.3">
      <c r="A40" s="27" t="s">
        <v>199</v>
      </c>
      <c r="B40" s="27" t="s">
        <v>23</v>
      </c>
      <c r="C40" s="27" t="s">
        <v>200</v>
      </c>
      <c r="D40" s="30" t="s">
        <v>12</v>
      </c>
      <c r="E40" s="28" t="s">
        <v>201</v>
      </c>
      <c r="F40" s="28" t="s">
        <v>96</v>
      </c>
      <c r="G40" s="27" t="s">
        <v>48</v>
      </c>
      <c r="H40" s="28" t="s">
        <v>202</v>
      </c>
      <c r="I40" s="29" t="s">
        <v>14</v>
      </c>
      <c r="J40" s="26" t="s">
        <v>56</v>
      </c>
    </row>
    <row r="41" spans="1:10" ht="31.5" customHeight="1" x14ac:dyDescent="0.3">
      <c r="A41" s="22" t="s">
        <v>203</v>
      </c>
      <c r="B41" s="22" t="s">
        <v>23</v>
      </c>
      <c r="C41" s="22" t="s">
        <v>204</v>
      </c>
      <c r="D41" s="23" t="s">
        <v>15</v>
      </c>
      <c r="E41" s="24" t="s">
        <v>205</v>
      </c>
      <c r="F41" s="24" t="s">
        <v>104</v>
      </c>
      <c r="G41" s="22" t="s">
        <v>105</v>
      </c>
      <c r="H41" s="24" t="s">
        <v>206</v>
      </c>
      <c r="I41" s="25" t="s">
        <v>11</v>
      </c>
      <c r="J41" s="26" t="s">
        <v>56</v>
      </c>
    </row>
    <row r="42" spans="1:10" ht="31.5" customHeight="1" x14ac:dyDescent="0.3">
      <c r="A42" s="27" t="s">
        <v>207</v>
      </c>
      <c r="B42" s="27" t="s">
        <v>23</v>
      </c>
      <c r="C42" s="27" t="s">
        <v>208</v>
      </c>
      <c r="D42" s="23" t="s">
        <v>15</v>
      </c>
      <c r="E42" s="28" t="s">
        <v>209</v>
      </c>
      <c r="F42" s="28" t="s">
        <v>210</v>
      </c>
      <c r="G42" s="27" t="s">
        <v>48</v>
      </c>
      <c r="H42" s="28" t="s">
        <v>211</v>
      </c>
      <c r="I42" s="29" t="s">
        <v>14</v>
      </c>
      <c r="J42" s="26" t="s">
        <v>56</v>
      </c>
    </row>
    <row r="43" spans="1:10" ht="31.5" customHeight="1" x14ac:dyDescent="0.3">
      <c r="A43" s="22" t="s">
        <v>212</v>
      </c>
      <c r="B43" s="22" t="s">
        <v>23</v>
      </c>
      <c r="C43" s="22" t="s">
        <v>213</v>
      </c>
      <c r="D43" s="23" t="s">
        <v>15</v>
      </c>
      <c r="E43" s="24" t="s">
        <v>214</v>
      </c>
      <c r="F43" s="24" t="s">
        <v>215</v>
      </c>
      <c r="G43" s="22" t="s">
        <v>48</v>
      </c>
      <c r="H43" s="24" t="s">
        <v>216</v>
      </c>
      <c r="I43" s="25" t="s">
        <v>11</v>
      </c>
      <c r="J43" s="26" t="s">
        <v>56</v>
      </c>
    </row>
    <row r="44" spans="1:10" ht="31.5" customHeight="1" x14ac:dyDescent="0.3">
      <c r="A44" s="27" t="s">
        <v>217</v>
      </c>
      <c r="B44" s="27" t="s">
        <v>23</v>
      </c>
      <c r="C44" s="27" t="s">
        <v>213</v>
      </c>
      <c r="D44" s="23" t="s">
        <v>15</v>
      </c>
      <c r="E44" s="28" t="s">
        <v>218</v>
      </c>
      <c r="F44" s="28" t="s">
        <v>219</v>
      </c>
      <c r="G44" s="27" t="s">
        <v>64</v>
      </c>
      <c r="H44" s="28" t="s">
        <v>220</v>
      </c>
      <c r="I44" s="29" t="s">
        <v>14</v>
      </c>
      <c r="J44" s="26" t="s">
        <v>56</v>
      </c>
    </row>
    <row r="45" spans="1:10" ht="31.5" customHeight="1" x14ac:dyDescent="0.3">
      <c r="A45" s="22" t="s">
        <v>221</v>
      </c>
      <c r="B45" s="22" t="s">
        <v>24</v>
      </c>
      <c r="C45" s="22" t="s">
        <v>222</v>
      </c>
      <c r="D45" s="30" t="s">
        <v>12</v>
      </c>
      <c r="E45" s="24" t="s">
        <v>223</v>
      </c>
      <c r="F45" s="24" t="s">
        <v>96</v>
      </c>
      <c r="G45" s="22" t="s">
        <v>48</v>
      </c>
      <c r="H45" s="24" t="s">
        <v>224</v>
      </c>
      <c r="I45" s="25" t="s">
        <v>11</v>
      </c>
      <c r="J45" s="26" t="s">
        <v>50</v>
      </c>
    </row>
    <row r="46" spans="1:10" ht="31.5" customHeight="1" x14ac:dyDescent="0.3">
      <c r="A46" s="27" t="s">
        <v>225</v>
      </c>
      <c r="B46" s="27" t="s">
        <v>24</v>
      </c>
      <c r="C46" s="27" t="s">
        <v>226</v>
      </c>
      <c r="D46" s="23" t="s">
        <v>15</v>
      </c>
      <c r="E46" s="28" t="s">
        <v>227</v>
      </c>
      <c r="F46" s="28" t="s">
        <v>104</v>
      </c>
      <c r="G46" s="27" t="s">
        <v>105</v>
      </c>
      <c r="H46" s="28" t="s">
        <v>228</v>
      </c>
      <c r="I46" s="25" t="s">
        <v>11</v>
      </c>
      <c r="J46" s="26" t="s">
        <v>56</v>
      </c>
    </row>
    <row r="47" spans="1:10" ht="31.5" customHeight="1" x14ac:dyDescent="0.3">
      <c r="A47" s="22" t="s">
        <v>229</v>
      </c>
      <c r="B47" s="22" t="s">
        <v>24</v>
      </c>
      <c r="C47" s="22" t="s">
        <v>230</v>
      </c>
      <c r="D47" s="23" t="s">
        <v>15</v>
      </c>
      <c r="E47" s="24" t="s">
        <v>231</v>
      </c>
      <c r="F47" s="24" t="s">
        <v>232</v>
      </c>
      <c r="G47" s="22" t="s">
        <v>48</v>
      </c>
      <c r="H47" s="24" t="s">
        <v>233</v>
      </c>
      <c r="I47" s="25" t="s">
        <v>11</v>
      </c>
      <c r="J47" s="26" t="s">
        <v>56</v>
      </c>
    </row>
    <row r="48" spans="1:10" ht="31.5" customHeight="1" x14ac:dyDescent="0.3">
      <c r="A48" s="27" t="s">
        <v>234</v>
      </c>
      <c r="B48" s="27" t="s">
        <v>24</v>
      </c>
      <c r="C48" s="27" t="s">
        <v>230</v>
      </c>
      <c r="D48" s="23" t="s">
        <v>15</v>
      </c>
      <c r="E48" s="28" t="s">
        <v>235</v>
      </c>
      <c r="F48" s="28" t="s">
        <v>236</v>
      </c>
      <c r="G48" s="27" t="s">
        <v>64</v>
      </c>
      <c r="H48" s="28" t="s">
        <v>145</v>
      </c>
      <c r="I48" s="25" t="s">
        <v>11</v>
      </c>
      <c r="J48" s="26" t="s">
        <v>56</v>
      </c>
    </row>
    <row r="49" spans="1:10" ht="31.5" customHeight="1" x14ac:dyDescent="0.3">
      <c r="A49" s="22" t="s">
        <v>237</v>
      </c>
      <c r="B49" s="22" t="s">
        <v>24</v>
      </c>
      <c r="C49" s="22" t="s">
        <v>238</v>
      </c>
      <c r="D49" s="23" t="s">
        <v>15</v>
      </c>
      <c r="E49" s="24" t="s">
        <v>239</v>
      </c>
      <c r="F49" s="24" t="s">
        <v>240</v>
      </c>
      <c r="G49" s="22" t="s">
        <v>48</v>
      </c>
      <c r="H49" s="24" t="s">
        <v>241</v>
      </c>
      <c r="I49" s="25" t="s">
        <v>11</v>
      </c>
      <c r="J49" s="26" t="s">
        <v>56</v>
      </c>
    </row>
    <row r="50" spans="1:10" ht="31.5" customHeight="1" x14ac:dyDescent="0.3">
      <c r="A50" s="27" t="s">
        <v>242</v>
      </c>
      <c r="B50" s="27" t="s">
        <v>24</v>
      </c>
      <c r="C50" s="27" t="s">
        <v>243</v>
      </c>
      <c r="D50" s="30" t="s">
        <v>12</v>
      </c>
      <c r="E50" s="28" t="s">
        <v>244</v>
      </c>
      <c r="F50" s="28" t="s">
        <v>96</v>
      </c>
      <c r="G50" s="27" t="s">
        <v>48</v>
      </c>
      <c r="H50" s="28" t="s">
        <v>245</v>
      </c>
      <c r="I50" s="29" t="s">
        <v>14</v>
      </c>
      <c r="J50" s="26" t="s">
        <v>56</v>
      </c>
    </row>
    <row r="51" spans="1:10" ht="31.5" customHeight="1" x14ac:dyDescent="0.3">
      <c r="A51" s="22" t="s">
        <v>246</v>
      </c>
      <c r="B51" s="22" t="s">
        <v>24</v>
      </c>
      <c r="C51" s="22" t="s">
        <v>247</v>
      </c>
      <c r="D51" s="30" t="s">
        <v>12</v>
      </c>
      <c r="E51" s="24" t="s">
        <v>248</v>
      </c>
      <c r="F51" s="24" t="s">
        <v>240</v>
      </c>
      <c r="G51" s="22" t="s">
        <v>48</v>
      </c>
      <c r="H51" s="24" t="s">
        <v>249</v>
      </c>
      <c r="I51" s="29" t="s">
        <v>14</v>
      </c>
      <c r="J51" s="26" t="s">
        <v>56</v>
      </c>
    </row>
    <row r="52" spans="1:10" ht="31.5" customHeight="1" x14ac:dyDescent="0.3">
      <c r="A52" s="27" t="s">
        <v>250</v>
      </c>
      <c r="B52" s="27" t="s">
        <v>25</v>
      </c>
      <c r="C52" s="27" t="s">
        <v>251</v>
      </c>
      <c r="D52" s="30" t="s">
        <v>12</v>
      </c>
      <c r="E52" s="28" t="s">
        <v>252</v>
      </c>
      <c r="F52" s="28" t="s">
        <v>96</v>
      </c>
      <c r="G52" s="27" t="s">
        <v>48</v>
      </c>
      <c r="H52" s="28" t="s">
        <v>253</v>
      </c>
      <c r="I52" s="25" t="s">
        <v>11</v>
      </c>
      <c r="J52" s="26" t="s">
        <v>50</v>
      </c>
    </row>
    <row r="53" spans="1:10" ht="31.5" customHeight="1" x14ac:dyDescent="0.3">
      <c r="A53" s="22" t="s">
        <v>254</v>
      </c>
      <c r="B53" s="22" t="s">
        <v>25</v>
      </c>
      <c r="C53" s="22" t="s">
        <v>255</v>
      </c>
      <c r="D53" s="23" t="s">
        <v>15</v>
      </c>
      <c r="E53" s="24" t="s">
        <v>256</v>
      </c>
      <c r="F53" s="24" t="s">
        <v>119</v>
      </c>
      <c r="G53" s="22" t="s">
        <v>105</v>
      </c>
      <c r="H53" s="24" t="s">
        <v>257</v>
      </c>
      <c r="I53" s="25" t="s">
        <v>11</v>
      </c>
      <c r="J53" s="26" t="s">
        <v>56</v>
      </c>
    </row>
    <row r="54" spans="1:10" ht="31.5" customHeight="1" x14ac:dyDescent="0.3">
      <c r="A54" s="27" t="s">
        <v>258</v>
      </c>
      <c r="B54" s="27" t="s">
        <v>25</v>
      </c>
      <c r="C54" s="27" t="s">
        <v>255</v>
      </c>
      <c r="D54" s="23" t="s">
        <v>15</v>
      </c>
      <c r="E54" s="28" t="s">
        <v>259</v>
      </c>
      <c r="F54" s="28" t="s">
        <v>260</v>
      </c>
      <c r="G54" s="27" t="s">
        <v>114</v>
      </c>
      <c r="H54" s="28" t="s">
        <v>261</v>
      </c>
      <c r="I54" s="25" t="s">
        <v>11</v>
      </c>
      <c r="J54" s="26" t="s">
        <v>56</v>
      </c>
    </row>
    <row r="55" spans="1:10" ht="31.5" customHeight="1" x14ac:dyDescent="0.3">
      <c r="A55" s="22" t="s">
        <v>262</v>
      </c>
      <c r="B55" s="22" t="s">
        <v>25</v>
      </c>
      <c r="C55" s="22" t="s">
        <v>263</v>
      </c>
      <c r="D55" s="23" t="s">
        <v>15</v>
      </c>
      <c r="E55" s="24" t="s">
        <v>264</v>
      </c>
      <c r="F55" s="24" t="s">
        <v>265</v>
      </c>
      <c r="G55" s="22" t="s">
        <v>48</v>
      </c>
      <c r="H55" s="24" t="s">
        <v>266</v>
      </c>
      <c r="I55" s="25" t="s">
        <v>11</v>
      </c>
      <c r="J55" s="26" t="s">
        <v>56</v>
      </c>
    </row>
    <row r="56" spans="1:10" ht="31.5" customHeight="1" x14ac:dyDescent="0.3">
      <c r="A56" s="27" t="s">
        <v>267</v>
      </c>
      <c r="B56" s="27" t="s">
        <v>25</v>
      </c>
      <c r="C56" s="27" t="s">
        <v>263</v>
      </c>
      <c r="D56" s="23" t="s">
        <v>15</v>
      </c>
      <c r="E56" s="28" t="s">
        <v>268</v>
      </c>
      <c r="F56" s="28" t="s">
        <v>269</v>
      </c>
      <c r="G56" s="27" t="s">
        <v>64</v>
      </c>
      <c r="H56" s="28" t="s">
        <v>270</v>
      </c>
      <c r="I56" s="25" t="s">
        <v>11</v>
      </c>
      <c r="J56" s="26" t="s">
        <v>56</v>
      </c>
    </row>
    <row r="57" spans="1:10" ht="31.5" customHeight="1" x14ac:dyDescent="0.3">
      <c r="A57" s="22" t="s">
        <v>271</v>
      </c>
      <c r="B57" s="22" t="s">
        <v>26</v>
      </c>
      <c r="C57" s="22" t="s">
        <v>272</v>
      </c>
      <c r="D57" s="30" t="s">
        <v>12</v>
      </c>
      <c r="E57" s="24" t="s">
        <v>273</v>
      </c>
      <c r="F57" s="24" t="s">
        <v>96</v>
      </c>
      <c r="G57" s="22" t="s">
        <v>48</v>
      </c>
      <c r="H57" s="24" t="s">
        <v>274</v>
      </c>
      <c r="I57" s="29" t="s">
        <v>14</v>
      </c>
      <c r="J57" s="26" t="s">
        <v>56</v>
      </c>
    </row>
    <row r="58" spans="1:10" ht="31.5" customHeight="1" x14ac:dyDescent="0.3">
      <c r="A58" s="27" t="s">
        <v>275</v>
      </c>
      <c r="B58" s="27" t="s">
        <v>26</v>
      </c>
      <c r="C58" s="27" t="s">
        <v>276</v>
      </c>
      <c r="D58" s="23" t="s">
        <v>15</v>
      </c>
      <c r="E58" s="28" t="s">
        <v>277</v>
      </c>
      <c r="F58" s="28" t="s">
        <v>278</v>
      </c>
      <c r="G58" s="27" t="s">
        <v>105</v>
      </c>
      <c r="H58" s="28" t="s">
        <v>279</v>
      </c>
      <c r="I58" s="29" t="s">
        <v>14</v>
      </c>
      <c r="J58" s="26" t="s">
        <v>50</v>
      </c>
    </row>
    <row r="59" spans="1:10" ht="31.5" customHeight="1" x14ac:dyDescent="0.3">
      <c r="A59" s="22" t="s">
        <v>280</v>
      </c>
      <c r="B59" s="22" t="s">
        <v>26</v>
      </c>
      <c r="C59" s="22" t="s">
        <v>281</v>
      </c>
      <c r="D59" s="30" t="s">
        <v>12</v>
      </c>
      <c r="E59" s="24" t="s">
        <v>282</v>
      </c>
      <c r="F59" s="24" t="s">
        <v>96</v>
      </c>
      <c r="G59" s="22" t="s">
        <v>48</v>
      </c>
      <c r="H59" s="24" t="s">
        <v>283</v>
      </c>
      <c r="I59" s="29" t="s">
        <v>14</v>
      </c>
      <c r="J59" s="26" t="s">
        <v>56</v>
      </c>
    </row>
    <row r="60" spans="1:10" ht="31.5" customHeight="1" x14ac:dyDescent="0.3">
      <c r="A60" s="27" t="s">
        <v>284</v>
      </c>
      <c r="B60" s="27" t="s">
        <v>26</v>
      </c>
      <c r="C60" s="27" t="s">
        <v>285</v>
      </c>
      <c r="D60" s="23" t="s">
        <v>15</v>
      </c>
      <c r="E60" s="28" t="s">
        <v>286</v>
      </c>
      <c r="F60" s="28" t="s">
        <v>278</v>
      </c>
      <c r="G60" s="27" t="s">
        <v>105</v>
      </c>
      <c r="H60" s="28" t="s">
        <v>287</v>
      </c>
      <c r="I60" s="29" t="s">
        <v>14</v>
      </c>
      <c r="J60" s="26" t="s">
        <v>56</v>
      </c>
    </row>
    <row r="61" spans="1:10" ht="31.5" customHeight="1" x14ac:dyDescent="0.3">
      <c r="A61" s="22" t="s">
        <v>288</v>
      </c>
      <c r="B61" s="22" t="s">
        <v>27</v>
      </c>
      <c r="C61" s="22" t="s">
        <v>289</v>
      </c>
      <c r="D61" s="30" t="s">
        <v>12</v>
      </c>
      <c r="E61" s="24" t="s">
        <v>290</v>
      </c>
      <c r="F61" s="24" t="s">
        <v>96</v>
      </c>
      <c r="G61" s="22" t="s">
        <v>48</v>
      </c>
      <c r="H61" s="24" t="s">
        <v>291</v>
      </c>
      <c r="I61" s="29" t="s">
        <v>14</v>
      </c>
      <c r="J61" s="26" t="s">
        <v>56</v>
      </c>
    </row>
    <row r="62" spans="1:10" ht="31.5" customHeight="1" x14ac:dyDescent="0.3">
      <c r="A62" s="27" t="s">
        <v>292</v>
      </c>
      <c r="B62" s="27" t="s">
        <v>27</v>
      </c>
      <c r="C62" s="27" t="s">
        <v>293</v>
      </c>
      <c r="D62" s="23" t="s">
        <v>15</v>
      </c>
      <c r="E62" s="28" t="s">
        <v>294</v>
      </c>
      <c r="F62" s="28" t="s">
        <v>295</v>
      </c>
      <c r="G62" s="27" t="s">
        <v>48</v>
      </c>
      <c r="H62" s="28" t="s">
        <v>296</v>
      </c>
      <c r="I62" s="29" t="s">
        <v>14</v>
      </c>
      <c r="J62" s="26" t="s">
        <v>56</v>
      </c>
    </row>
    <row r="63" spans="1:10" ht="31.5" customHeight="1" x14ac:dyDescent="0.3">
      <c r="A63" s="22" t="s">
        <v>297</v>
      </c>
      <c r="B63" s="22" t="s">
        <v>27</v>
      </c>
      <c r="C63" s="22" t="s">
        <v>298</v>
      </c>
      <c r="D63" s="23" t="s">
        <v>15</v>
      </c>
      <c r="E63" s="24" t="s">
        <v>299</v>
      </c>
      <c r="F63" s="24" t="s">
        <v>300</v>
      </c>
      <c r="G63" s="22" t="s">
        <v>48</v>
      </c>
      <c r="H63" s="24" t="s">
        <v>301</v>
      </c>
      <c r="I63" s="29" t="s">
        <v>14</v>
      </c>
      <c r="J63" s="26" t="s">
        <v>56</v>
      </c>
    </row>
    <row r="64" spans="1:10" ht="31.5" customHeight="1" x14ac:dyDescent="0.3">
      <c r="A64" s="27" t="s">
        <v>302</v>
      </c>
      <c r="B64" s="27" t="s">
        <v>28</v>
      </c>
      <c r="C64" s="27" t="s">
        <v>303</v>
      </c>
      <c r="D64" s="30" t="s">
        <v>12</v>
      </c>
      <c r="E64" s="28" t="s">
        <v>304</v>
      </c>
      <c r="F64" s="28" t="s">
        <v>96</v>
      </c>
      <c r="G64" s="27" t="s">
        <v>48</v>
      </c>
      <c r="H64" s="28" t="s">
        <v>305</v>
      </c>
      <c r="I64" s="29" t="s">
        <v>14</v>
      </c>
      <c r="J64" s="26" t="s">
        <v>56</v>
      </c>
    </row>
    <row r="65" spans="1:10" ht="31.5" customHeight="1" x14ac:dyDescent="0.3">
      <c r="A65" s="22" t="s">
        <v>306</v>
      </c>
      <c r="B65" s="22" t="s">
        <v>28</v>
      </c>
      <c r="C65" s="22" t="s">
        <v>307</v>
      </c>
      <c r="D65" s="23" t="s">
        <v>15</v>
      </c>
      <c r="E65" s="24" t="s">
        <v>308</v>
      </c>
      <c r="F65" s="24" t="s">
        <v>309</v>
      </c>
      <c r="G65" s="22" t="s">
        <v>48</v>
      </c>
      <c r="H65" s="24" t="s">
        <v>310</v>
      </c>
      <c r="I65" s="29" t="s">
        <v>14</v>
      </c>
      <c r="J65" s="26" t="s">
        <v>50</v>
      </c>
    </row>
    <row r="66" spans="1:10" ht="31.5" customHeight="1" x14ac:dyDescent="0.3">
      <c r="A66" s="27" t="s">
        <v>311</v>
      </c>
      <c r="B66" s="27" t="s">
        <v>28</v>
      </c>
      <c r="C66" s="27" t="s">
        <v>312</v>
      </c>
      <c r="D66" s="23" t="s">
        <v>15</v>
      </c>
      <c r="E66" s="28" t="s">
        <v>313</v>
      </c>
      <c r="F66" s="28" t="s">
        <v>314</v>
      </c>
      <c r="G66" s="27" t="s">
        <v>48</v>
      </c>
      <c r="H66" s="28" t="s">
        <v>315</v>
      </c>
      <c r="I66" s="29" t="s">
        <v>14</v>
      </c>
      <c r="J66" s="26" t="s">
        <v>56</v>
      </c>
    </row>
    <row r="67" spans="1:10" ht="31.5" customHeight="1" x14ac:dyDescent="0.3">
      <c r="A67" s="22" t="s">
        <v>316</v>
      </c>
      <c r="B67" s="22" t="s">
        <v>29</v>
      </c>
      <c r="C67" s="22" t="s">
        <v>317</v>
      </c>
      <c r="D67" s="30" t="s">
        <v>12</v>
      </c>
      <c r="E67" s="24" t="s">
        <v>318</v>
      </c>
      <c r="F67" s="24" t="s">
        <v>96</v>
      </c>
      <c r="G67" s="22" t="s">
        <v>48</v>
      </c>
      <c r="H67" s="24" t="s">
        <v>319</v>
      </c>
      <c r="I67" s="29" t="s">
        <v>14</v>
      </c>
      <c r="J67" s="26" t="s">
        <v>56</v>
      </c>
    </row>
    <row r="68" spans="1:10" ht="31.5" customHeight="1" x14ac:dyDescent="0.3">
      <c r="A68" s="27" t="s">
        <v>320</v>
      </c>
      <c r="B68" s="27" t="s">
        <v>29</v>
      </c>
      <c r="C68" s="27" t="s">
        <v>321</v>
      </c>
      <c r="D68" s="23" t="s">
        <v>15</v>
      </c>
      <c r="E68" s="28" t="s">
        <v>322</v>
      </c>
      <c r="F68" s="28" t="s">
        <v>104</v>
      </c>
      <c r="G68" s="27" t="s">
        <v>105</v>
      </c>
      <c r="H68" s="28" t="s">
        <v>323</v>
      </c>
      <c r="I68" s="29" t="s">
        <v>14</v>
      </c>
      <c r="J68" s="26" t="s">
        <v>56</v>
      </c>
    </row>
    <row r="69" spans="1:10" ht="31.5" customHeight="1" x14ac:dyDescent="0.3">
      <c r="A69" s="22" t="s">
        <v>324</v>
      </c>
      <c r="B69" s="22" t="s">
        <v>29</v>
      </c>
      <c r="C69" s="22" t="s">
        <v>325</v>
      </c>
      <c r="D69" s="23" t="s">
        <v>15</v>
      </c>
      <c r="E69" s="24" t="s">
        <v>326</v>
      </c>
      <c r="F69" s="24" t="s">
        <v>327</v>
      </c>
      <c r="G69" s="22" t="s">
        <v>48</v>
      </c>
      <c r="H69" s="24" t="s">
        <v>328</v>
      </c>
      <c r="I69" s="29" t="s">
        <v>14</v>
      </c>
      <c r="J69" s="26" t="s">
        <v>56</v>
      </c>
    </row>
    <row r="70" spans="1:10" ht="31.5" customHeight="1" x14ac:dyDescent="0.3">
      <c r="A70" s="27" t="s">
        <v>329</v>
      </c>
      <c r="B70" s="27" t="s">
        <v>30</v>
      </c>
      <c r="C70" s="27" t="s">
        <v>330</v>
      </c>
      <c r="D70" s="30" t="s">
        <v>12</v>
      </c>
      <c r="E70" s="28" t="s">
        <v>331</v>
      </c>
      <c r="F70" s="28" t="s">
        <v>96</v>
      </c>
      <c r="G70" s="27" t="s">
        <v>48</v>
      </c>
      <c r="H70" s="28" t="s">
        <v>332</v>
      </c>
      <c r="I70" s="29" t="s">
        <v>14</v>
      </c>
      <c r="J70" s="26" t="s">
        <v>56</v>
      </c>
    </row>
    <row r="71" spans="1:10" ht="31.5" customHeight="1" x14ac:dyDescent="0.3">
      <c r="A71" s="22" t="s">
        <v>333</v>
      </c>
      <c r="B71" s="22" t="s">
        <v>30</v>
      </c>
      <c r="C71" s="22" t="s">
        <v>334</v>
      </c>
      <c r="D71" s="23" t="s">
        <v>15</v>
      </c>
      <c r="E71" s="24" t="s">
        <v>335</v>
      </c>
      <c r="F71" s="24" t="s">
        <v>336</v>
      </c>
      <c r="G71" s="22" t="s">
        <v>48</v>
      </c>
      <c r="H71" s="24" t="s">
        <v>337</v>
      </c>
      <c r="I71" s="29" t="s">
        <v>14</v>
      </c>
      <c r="J71" s="26" t="s">
        <v>56</v>
      </c>
    </row>
    <row r="72" spans="1:10" ht="31.5" customHeight="1" x14ac:dyDescent="0.3">
      <c r="A72" s="27" t="s">
        <v>338</v>
      </c>
      <c r="B72" s="27" t="s">
        <v>31</v>
      </c>
      <c r="C72" s="27" t="s">
        <v>339</v>
      </c>
      <c r="D72" s="30" t="s">
        <v>12</v>
      </c>
      <c r="E72" s="28" t="s">
        <v>340</v>
      </c>
      <c r="F72" s="28" t="s">
        <v>341</v>
      </c>
      <c r="G72" s="27" t="s">
        <v>48</v>
      </c>
      <c r="H72" s="28" t="s">
        <v>342</v>
      </c>
      <c r="I72" s="29" t="s">
        <v>14</v>
      </c>
      <c r="J72" s="26" t="s">
        <v>50</v>
      </c>
    </row>
    <row r="73" spans="1:10" ht="31.5" customHeight="1" x14ac:dyDescent="0.3">
      <c r="A73" s="22" t="s">
        <v>343</v>
      </c>
      <c r="B73" s="22" t="s">
        <v>31</v>
      </c>
      <c r="C73" s="22" t="s">
        <v>344</v>
      </c>
      <c r="D73" s="30" t="s">
        <v>12</v>
      </c>
      <c r="E73" s="24" t="s">
        <v>345</v>
      </c>
      <c r="F73" s="24" t="s">
        <v>346</v>
      </c>
      <c r="G73" s="22" t="s">
        <v>48</v>
      </c>
      <c r="H73" s="24" t="s">
        <v>347</v>
      </c>
      <c r="I73" s="29" t="s">
        <v>14</v>
      </c>
      <c r="J73" s="26" t="s">
        <v>56</v>
      </c>
    </row>
    <row r="74" spans="1:10" ht="31.5" customHeight="1" x14ac:dyDescent="0.3">
      <c r="A74" s="27" t="s">
        <v>348</v>
      </c>
      <c r="B74" s="27" t="s">
        <v>31</v>
      </c>
      <c r="C74" s="27" t="s">
        <v>349</v>
      </c>
      <c r="D74" s="30" t="s">
        <v>12</v>
      </c>
      <c r="E74" s="28" t="s">
        <v>350</v>
      </c>
      <c r="F74" s="28" t="s">
        <v>240</v>
      </c>
      <c r="G74" s="27" t="s">
        <v>48</v>
      </c>
      <c r="H74" s="28" t="s">
        <v>351</v>
      </c>
      <c r="I74" s="29" t="s">
        <v>14</v>
      </c>
      <c r="J74" s="26" t="s">
        <v>56</v>
      </c>
    </row>
    <row r="75" spans="1:10" ht="31.5" customHeight="1" x14ac:dyDescent="0.3">
      <c r="A75" s="22" t="s">
        <v>352</v>
      </c>
      <c r="B75" s="22" t="s">
        <v>31</v>
      </c>
      <c r="C75" s="22" t="s">
        <v>353</v>
      </c>
      <c r="D75" s="30" t="s">
        <v>12</v>
      </c>
      <c r="E75" s="24" t="s">
        <v>354</v>
      </c>
      <c r="F75" s="24" t="s">
        <v>346</v>
      </c>
      <c r="G75" s="22" t="s">
        <v>48</v>
      </c>
      <c r="H75" s="24" t="s">
        <v>355</v>
      </c>
      <c r="I75" s="29" t="s">
        <v>14</v>
      </c>
      <c r="J75" s="26" t="s">
        <v>56</v>
      </c>
    </row>
    <row r="76" spans="1:10" ht="31.5" customHeight="1" x14ac:dyDescent="0.3">
      <c r="A76" s="27" t="s">
        <v>356</v>
      </c>
      <c r="B76" s="27" t="s">
        <v>32</v>
      </c>
      <c r="C76" s="27" t="s">
        <v>13</v>
      </c>
      <c r="D76" s="30" t="s">
        <v>12</v>
      </c>
      <c r="E76" s="28" t="s">
        <v>357</v>
      </c>
      <c r="F76" s="28" t="s">
        <v>358</v>
      </c>
      <c r="G76" s="27" t="s">
        <v>54</v>
      </c>
      <c r="H76" s="28" t="s">
        <v>359</v>
      </c>
      <c r="I76" s="25" t="s">
        <v>11</v>
      </c>
      <c r="J76" s="26" t="s">
        <v>56</v>
      </c>
    </row>
    <row r="77" spans="1:10" ht="31.5" customHeight="1" x14ac:dyDescent="0.3">
      <c r="A77" s="22" t="s">
        <v>360</v>
      </c>
      <c r="B77" s="22" t="s">
        <v>32</v>
      </c>
      <c r="C77" s="22" t="s">
        <v>13</v>
      </c>
      <c r="D77" s="30" t="s">
        <v>12</v>
      </c>
      <c r="E77" s="24" t="s">
        <v>361</v>
      </c>
      <c r="F77" s="24" t="s">
        <v>91</v>
      </c>
      <c r="G77" s="22" t="s">
        <v>54</v>
      </c>
      <c r="H77" s="24" t="s">
        <v>198</v>
      </c>
      <c r="I77" s="25" t="s">
        <v>11</v>
      </c>
      <c r="J77" s="26" t="s">
        <v>56</v>
      </c>
    </row>
    <row r="78" spans="1:10" ht="31.5" customHeight="1" x14ac:dyDescent="0.3">
      <c r="A78" s="27" t="s">
        <v>362</v>
      </c>
      <c r="B78" s="27" t="s">
        <v>32</v>
      </c>
      <c r="C78" s="27" t="s">
        <v>363</v>
      </c>
      <c r="D78" s="30" t="s">
        <v>12</v>
      </c>
      <c r="E78" s="28" t="s">
        <v>364</v>
      </c>
      <c r="F78" s="28" t="s">
        <v>365</v>
      </c>
      <c r="G78" s="27" t="s">
        <v>366</v>
      </c>
      <c r="H78" s="28" t="s">
        <v>367</v>
      </c>
      <c r="I78" s="25" t="s">
        <v>11</v>
      </c>
      <c r="J78" s="26" t="s">
        <v>50</v>
      </c>
    </row>
    <row r="79" spans="1:10" ht="31.5" customHeight="1" x14ac:dyDescent="0.3">
      <c r="A79" s="22" t="s">
        <v>368</v>
      </c>
      <c r="B79" s="22" t="s">
        <v>32</v>
      </c>
      <c r="C79" s="22" t="s">
        <v>369</v>
      </c>
      <c r="D79" s="23" t="s">
        <v>15</v>
      </c>
      <c r="E79" s="24" t="s">
        <v>370</v>
      </c>
      <c r="F79" s="24" t="s">
        <v>371</v>
      </c>
      <c r="G79" s="22" t="s">
        <v>64</v>
      </c>
      <c r="H79" s="24" t="s">
        <v>372</v>
      </c>
      <c r="I79" s="29" t="s">
        <v>14</v>
      </c>
      <c r="J79" s="26" t="s">
        <v>56</v>
      </c>
    </row>
    <row r="80" spans="1:10" ht="31.5" customHeight="1" x14ac:dyDescent="0.3">
      <c r="A80" s="27" t="s">
        <v>373</v>
      </c>
      <c r="B80" s="27" t="s">
        <v>32</v>
      </c>
      <c r="C80" s="27" t="s">
        <v>374</v>
      </c>
      <c r="D80" s="23" t="s">
        <v>15</v>
      </c>
      <c r="E80" s="28" t="s">
        <v>375</v>
      </c>
      <c r="F80" s="28" t="s">
        <v>376</v>
      </c>
      <c r="G80" s="27" t="s">
        <v>377</v>
      </c>
      <c r="H80" s="28" t="s">
        <v>378</v>
      </c>
      <c r="I80" s="29" t="s">
        <v>14</v>
      </c>
      <c r="J80" s="26" t="s">
        <v>56</v>
      </c>
    </row>
    <row r="81" spans="1:10" ht="31.5" customHeight="1" x14ac:dyDescent="0.3">
      <c r="A81" s="22" t="s">
        <v>379</v>
      </c>
      <c r="B81" s="22" t="s">
        <v>32</v>
      </c>
      <c r="C81" s="22" t="s">
        <v>363</v>
      </c>
      <c r="D81" s="30" t="s">
        <v>12</v>
      </c>
      <c r="E81" s="24" t="s">
        <v>380</v>
      </c>
      <c r="F81" s="24" t="s">
        <v>381</v>
      </c>
      <c r="G81" s="22" t="s">
        <v>54</v>
      </c>
      <c r="H81" s="24" t="s">
        <v>382</v>
      </c>
      <c r="I81" s="25" t="s">
        <v>11</v>
      </c>
      <c r="J81" s="26" t="s">
        <v>56</v>
      </c>
    </row>
    <row r="82" spans="1:10" ht="31.5" customHeight="1" x14ac:dyDescent="0.3">
      <c r="A82" s="27" t="s">
        <v>383</v>
      </c>
      <c r="B82" s="27" t="s">
        <v>32</v>
      </c>
      <c r="C82" s="27" t="s">
        <v>369</v>
      </c>
      <c r="D82" s="23" t="s">
        <v>15</v>
      </c>
      <c r="E82" s="28" t="s">
        <v>384</v>
      </c>
      <c r="F82" s="28" t="s">
        <v>385</v>
      </c>
      <c r="G82" s="27" t="s">
        <v>386</v>
      </c>
      <c r="H82" s="28" t="s">
        <v>387</v>
      </c>
      <c r="I82" s="29" t="s">
        <v>14</v>
      </c>
      <c r="J82" s="26" t="s">
        <v>56</v>
      </c>
    </row>
    <row r="83" spans="1:10" ht="31.5" customHeight="1" x14ac:dyDescent="0.3">
      <c r="A83" s="22" t="s">
        <v>388</v>
      </c>
      <c r="B83" s="22" t="s">
        <v>32</v>
      </c>
      <c r="C83" s="22" t="s">
        <v>389</v>
      </c>
      <c r="D83" s="23" t="s">
        <v>15</v>
      </c>
      <c r="E83" s="24" t="s">
        <v>390</v>
      </c>
      <c r="F83" s="24" t="s">
        <v>391</v>
      </c>
      <c r="G83" s="22" t="s">
        <v>392</v>
      </c>
      <c r="H83" s="24" t="s">
        <v>393</v>
      </c>
      <c r="I83" s="25" t="s">
        <v>11</v>
      </c>
      <c r="J83" s="26" t="s">
        <v>56</v>
      </c>
    </row>
    <row r="84" spans="1:10" ht="31.5" customHeight="1" x14ac:dyDescent="0.3">
      <c r="A84" s="27" t="s">
        <v>394</v>
      </c>
      <c r="B84" s="27" t="s">
        <v>32</v>
      </c>
      <c r="C84" s="27" t="s">
        <v>395</v>
      </c>
      <c r="D84" s="30" t="s">
        <v>12</v>
      </c>
      <c r="E84" s="28" t="s">
        <v>396</v>
      </c>
      <c r="F84" s="28" t="s">
        <v>397</v>
      </c>
      <c r="G84" s="27" t="s">
        <v>124</v>
      </c>
      <c r="H84" s="28" t="s">
        <v>398</v>
      </c>
      <c r="I84" s="29" t="s">
        <v>14</v>
      </c>
      <c r="J84" s="26" t="s">
        <v>56</v>
      </c>
    </row>
  </sheetData>
  <autoFilter ref="A4:J84" xr:uid="{00000000-0009-0000-0000-000001000000}"/>
  <mergeCells count="2">
    <mergeCell ref="A1:J1"/>
    <mergeCell ref="A2:J2"/>
  </mergeCells>
  <conditionalFormatting sqref="J5:J84">
    <cfRule type="expression" dxfId="3" priority="2">
      <formula>J5="Pass"</formula>
    </cfRule>
    <cfRule type="expression" dxfId="2" priority="3">
      <formula>J5="Fail"</formula>
    </cfRule>
    <cfRule type="expression" dxfId="1" priority="4">
      <formula>J5="Blocked"</formula>
    </cfRule>
    <cfRule type="expression" dxfId="0" priority="5">
      <formula>J5="Not Executed"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5" customWidth="1"/>
    <col min="3" max="3" width="18" customWidth="1"/>
    <col min="4" max="4" width="10" customWidth="1"/>
    <col min="5" max="5" width="34" customWidth="1"/>
    <col min="6" max="6" width="24" customWidth="1"/>
    <col min="7" max="7" width="22" customWidth="1"/>
    <col min="8" max="8" width="38" customWidth="1"/>
    <col min="9" max="9" width="10" customWidth="1"/>
    <col min="10" max="10" width="14" customWidth="1"/>
  </cols>
  <sheetData>
    <row r="1" spans="1:10" ht="24" customHeight="1" x14ac:dyDescent="0.3">
      <c r="A1" s="38" t="s">
        <v>399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25.5" customHeight="1" x14ac:dyDescent="0.3">
      <c r="A2" s="33" t="s">
        <v>34</v>
      </c>
      <c r="B2" s="33" t="s">
        <v>35</v>
      </c>
      <c r="C2" s="33" t="s">
        <v>36</v>
      </c>
      <c r="D2" s="33" t="s">
        <v>37</v>
      </c>
      <c r="E2" s="33" t="s">
        <v>38</v>
      </c>
      <c r="F2" s="33" t="s">
        <v>39</v>
      </c>
      <c r="G2" s="33" t="s">
        <v>40</v>
      </c>
      <c r="H2" s="33" t="s">
        <v>41</v>
      </c>
      <c r="I2" s="33" t="s">
        <v>42</v>
      </c>
      <c r="J2" s="33" t="s">
        <v>43</v>
      </c>
    </row>
    <row r="3" spans="1:10" ht="15" customHeight="1" x14ac:dyDescent="0.3">
      <c r="A3" s="34" t="s">
        <v>44</v>
      </c>
      <c r="B3" s="34" t="s">
        <v>13</v>
      </c>
      <c r="C3" s="34" t="s">
        <v>45</v>
      </c>
      <c r="D3" s="34" t="s">
        <v>15</v>
      </c>
      <c r="E3" s="35" t="s">
        <v>46</v>
      </c>
      <c r="F3" s="35" t="s">
        <v>47</v>
      </c>
      <c r="G3" s="34" t="s">
        <v>48</v>
      </c>
      <c r="H3" s="35" t="s">
        <v>49</v>
      </c>
      <c r="I3" s="34" t="s">
        <v>11</v>
      </c>
      <c r="J3" s="34" t="s">
        <v>7</v>
      </c>
    </row>
    <row r="4" spans="1:10" ht="15" customHeight="1" x14ac:dyDescent="0.3">
      <c r="A4" s="34" t="s">
        <v>51</v>
      </c>
      <c r="B4" s="34" t="s">
        <v>13</v>
      </c>
      <c r="C4" s="34" t="s">
        <v>45</v>
      </c>
      <c r="D4" s="34" t="s">
        <v>15</v>
      </c>
      <c r="E4" s="35" t="s">
        <v>52</v>
      </c>
      <c r="F4" s="35" t="s">
        <v>53</v>
      </c>
      <c r="G4" s="34" t="s">
        <v>54</v>
      </c>
      <c r="H4" s="35" t="s">
        <v>55</v>
      </c>
      <c r="I4" s="34" t="s">
        <v>11</v>
      </c>
      <c r="J4" s="34" t="s">
        <v>7</v>
      </c>
    </row>
    <row r="5" spans="1:10" ht="15" customHeight="1" x14ac:dyDescent="0.3">
      <c r="A5" s="34" t="s">
        <v>57</v>
      </c>
      <c r="B5" s="34" t="s">
        <v>13</v>
      </c>
      <c r="C5" s="34" t="s">
        <v>45</v>
      </c>
      <c r="D5" s="34" t="s">
        <v>15</v>
      </c>
      <c r="E5" s="35" t="s">
        <v>58</v>
      </c>
      <c r="F5" s="35" t="s">
        <v>59</v>
      </c>
      <c r="G5" s="34" t="s">
        <v>54</v>
      </c>
      <c r="H5" s="35" t="s">
        <v>60</v>
      </c>
      <c r="I5" s="34" t="s">
        <v>11</v>
      </c>
      <c r="J5" s="34" t="s">
        <v>7</v>
      </c>
    </row>
    <row r="6" spans="1:10" ht="15" customHeight="1" x14ac:dyDescent="0.3">
      <c r="A6" s="34" t="s">
        <v>61</v>
      </c>
      <c r="B6" s="34" t="s">
        <v>13</v>
      </c>
      <c r="C6" s="34" t="s">
        <v>45</v>
      </c>
      <c r="D6" s="34" t="s">
        <v>15</v>
      </c>
      <c r="E6" s="35" t="s">
        <v>62</v>
      </c>
      <c r="F6" s="35" t="s">
        <v>63</v>
      </c>
      <c r="G6" s="34" t="s">
        <v>64</v>
      </c>
      <c r="H6" s="35" t="s">
        <v>65</v>
      </c>
      <c r="I6" s="34" t="s">
        <v>11</v>
      </c>
      <c r="J6" s="34" t="s">
        <v>7</v>
      </c>
    </row>
    <row r="7" spans="1:10" ht="15" customHeight="1" x14ac:dyDescent="0.3">
      <c r="A7" s="34" t="s">
        <v>66</v>
      </c>
      <c r="B7" s="34" t="s">
        <v>13</v>
      </c>
      <c r="C7" s="34" t="s">
        <v>45</v>
      </c>
      <c r="D7" s="34" t="s">
        <v>15</v>
      </c>
      <c r="E7" s="35" t="s">
        <v>67</v>
      </c>
      <c r="F7" s="35" t="s">
        <v>68</v>
      </c>
      <c r="G7" s="34" t="s">
        <v>64</v>
      </c>
      <c r="H7" s="35" t="s">
        <v>69</v>
      </c>
      <c r="I7" s="34" t="s">
        <v>11</v>
      </c>
      <c r="J7" s="34" t="s">
        <v>7</v>
      </c>
    </row>
    <row r="8" spans="1:10" ht="15" customHeight="1" x14ac:dyDescent="0.3">
      <c r="A8" s="34" t="s">
        <v>70</v>
      </c>
      <c r="B8" s="34" t="s">
        <v>13</v>
      </c>
      <c r="C8" s="34" t="s">
        <v>45</v>
      </c>
      <c r="D8" s="34" t="s">
        <v>15</v>
      </c>
      <c r="E8" s="35" t="s">
        <v>71</v>
      </c>
      <c r="F8" s="35" t="s">
        <v>72</v>
      </c>
      <c r="G8" s="34" t="s">
        <v>64</v>
      </c>
      <c r="H8" s="35" t="s">
        <v>73</v>
      </c>
      <c r="I8" s="34" t="s">
        <v>11</v>
      </c>
      <c r="J8" s="34" t="s">
        <v>7</v>
      </c>
    </row>
    <row r="9" spans="1:10" ht="15" customHeight="1" x14ac:dyDescent="0.3">
      <c r="A9" s="34" t="s">
        <v>74</v>
      </c>
      <c r="B9" s="34" t="s">
        <v>13</v>
      </c>
      <c r="C9" s="34" t="s">
        <v>45</v>
      </c>
      <c r="D9" s="34" t="s">
        <v>15</v>
      </c>
      <c r="E9" s="35" t="s">
        <v>75</v>
      </c>
      <c r="F9" s="35" t="s">
        <v>76</v>
      </c>
      <c r="G9" s="34" t="s">
        <v>77</v>
      </c>
      <c r="H9" s="35" t="s">
        <v>78</v>
      </c>
      <c r="I9" s="34" t="s">
        <v>11</v>
      </c>
      <c r="J9" s="34" t="s">
        <v>7</v>
      </c>
    </row>
    <row r="10" spans="1:10" ht="15" customHeight="1" x14ac:dyDescent="0.3">
      <c r="A10" s="34" t="s">
        <v>79</v>
      </c>
      <c r="B10" s="34" t="s">
        <v>13</v>
      </c>
      <c r="C10" s="34" t="s">
        <v>45</v>
      </c>
      <c r="D10" s="34" t="s">
        <v>15</v>
      </c>
      <c r="E10" s="35" t="s">
        <v>80</v>
      </c>
      <c r="F10" s="35" t="s">
        <v>81</v>
      </c>
      <c r="G10" s="34" t="s">
        <v>82</v>
      </c>
      <c r="H10" s="35" t="s">
        <v>83</v>
      </c>
      <c r="I10" s="34" t="s">
        <v>14</v>
      </c>
      <c r="J10" s="34" t="s">
        <v>7</v>
      </c>
    </row>
    <row r="11" spans="1:10" ht="15" customHeight="1" x14ac:dyDescent="0.3">
      <c r="A11" s="34" t="s">
        <v>84</v>
      </c>
      <c r="B11" s="34" t="s">
        <v>13</v>
      </c>
      <c r="C11" s="34" t="s">
        <v>85</v>
      </c>
      <c r="D11" s="34" t="s">
        <v>15</v>
      </c>
      <c r="E11" s="35" t="s">
        <v>86</v>
      </c>
      <c r="F11" s="35" t="s">
        <v>87</v>
      </c>
      <c r="G11" s="34" t="s">
        <v>48</v>
      </c>
      <c r="H11" s="35" t="s">
        <v>88</v>
      </c>
      <c r="I11" s="34" t="s">
        <v>14</v>
      </c>
      <c r="J11" s="34" t="s">
        <v>7</v>
      </c>
    </row>
    <row r="12" spans="1:10" ht="15" customHeight="1" x14ac:dyDescent="0.3">
      <c r="A12" s="34" t="s">
        <v>89</v>
      </c>
      <c r="B12" s="34" t="s">
        <v>13</v>
      </c>
      <c r="C12" s="34" t="s">
        <v>85</v>
      </c>
      <c r="D12" s="34" t="s">
        <v>15</v>
      </c>
      <c r="E12" s="35" t="s">
        <v>90</v>
      </c>
      <c r="F12" s="35" t="s">
        <v>91</v>
      </c>
      <c r="G12" s="34" t="s">
        <v>54</v>
      </c>
      <c r="H12" s="35" t="s">
        <v>92</v>
      </c>
      <c r="I12" s="34" t="s">
        <v>11</v>
      </c>
      <c r="J12" s="34" t="s">
        <v>7</v>
      </c>
    </row>
    <row r="13" spans="1:10" ht="15" customHeight="1" x14ac:dyDescent="0.3">
      <c r="A13" s="34" t="s">
        <v>93</v>
      </c>
      <c r="B13" s="34" t="s">
        <v>16</v>
      </c>
      <c r="C13" s="34" t="s">
        <v>94</v>
      </c>
      <c r="D13" s="34" t="s">
        <v>12</v>
      </c>
      <c r="E13" s="35" t="s">
        <v>95</v>
      </c>
      <c r="F13" s="35" t="s">
        <v>96</v>
      </c>
      <c r="G13" s="34" t="s">
        <v>48</v>
      </c>
      <c r="H13" s="35" t="s">
        <v>97</v>
      </c>
      <c r="I13" s="34" t="s">
        <v>11</v>
      </c>
      <c r="J13" s="34" t="s">
        <v>7</v>
      </c>
    </row>
    <row r="14" spans="1:10" ht="15" customHeight="1" x14ac:dyDescent="0.3">
      <c r="A14" s="34" t="s">
        <v>98</v>
      </c>
      <c r="B14" s="34" t="s">
        <v>16</v>
      </c>
      <c r="C14" s="34" t="s">
        <v>94</v>
      </c>
      <c r="D14" s="34" t="s">
        <v>12</v>
      </c>
      <c r="E14" s="35" t="s">
        <v>99</v>
      </c>
      <c r="F14" s="35" t="s">
        <v>100</v>
      </c>
      <c r="G14" s="34" t="s">
        <v>54</v>
      </c>
      <c r="H14" s="35" t="s">
        <v>92</v>
      </c>
      <c r="I14" s="34" t="s">
        <v>11</v>
      </c>
      <c r="J14" s="34" t="s">
        <v>7</v>
      </c>
    </row>
    <row r="15" spans="1:10" ht="15" customHeight="1" x14ac:dyDescent="0.3">
      <c r="A15" s="34" t="s">
        <v>101</v>
      </c>
      <c r="B15" s="34" t="s">
        <v>16</v>
      </c>
      <c r="C15" s="34" t="s">
        <v>102</v>
      </c>
      <c r="D15" s="34" t="s">
        <v>15</v>
      </c>
      <c r="E15" s="35" t="s">
        <v>103</v>
      </c>
      <c r="F15" s="35" t="s">
        <v>104</v>
      </c>
      <c r="G15" s="34" t="s">
        <v>105</v>
      </c>
      <c r="H15" s="35" t="s">
        <v>106</v>
      </c>
      <c r="I15" s="34" t="s">
        <v>11</v>
      </c>
      <c r="J15" s="34" t="s">
        <v>7</v>
      </c>
    </row>
    <row r="16" spans="1:10" ht="15" customHeight="1" x14ac:dyDescent="0.3">
      <c r="A16" s="34" t="s">
        <v>107</v>
      </c>
      <c r="B16" s="34" t="s">
        <v>16</v>
      </c>
      <c r="C16" s="34" t="s">
        <v>102</v>
      </c>
      <c r="D16" s="34" t="s">
        <v>15</v>
      </c>
      <c r="E16" s="35" t="s">
        <v>108</v>
      </c>
      <c r="F16" s="35" t="s">
        <v>109</v>
      </c>
      <c r="G16" s="34" t="s">
        <v>64</v>
      </c>
      <c r="H16" s="35" t="s">
        <v>110</v>
      </c>
      <c r="I16" s="34" t="s">
        <v>11</v>
      </c>
      <c r="J16" s="34" t="s">
        <v>7</v>
      </c>
    </row>
    <row r="17" spans="1:10" ht="15" customHeight="1" x14ac:dyDescent="0.3">
      <c r="A17" s="34" t="s">
        <v>111</v>
      </c>
      <c r="B17" s="34" t="s">
        <v>16</v>
      </c>
      <c r="C17" s="34" t="s">
        <v>102</v>
      </c>
      <c r="D17" s="34" t="s">
        <v>15</v>
      </c>
      <c r="E17" s="35" t="s">
        <v>112</v>
      </c>
      <c r="F17" s="35" t="s">
        <v>113</v>
      </c>
      <c r="G17" s="34" t="s">
        <v>114</v>
      </c>
      <c r="H17" s="35" t="s">
        <v>115</v>
      </c>
      <c r="I17" s="34" t="s">
        <v>11</v>
      </c>
      <c r="J17" s="34" t="s">
        <v>7</v>
      </c>
    </row>
    <row r="18" spans="1:10" ht="15" customHeight="1" x14ac:dyDescent="0.3">
      <c r="A18" s="34" t="s">
        <v>116</v>
      </c>
      <c r="B18" s="34" t="s">
        <v>16</v>
      </c>
      <c r="C18" s="34" t="s">
        <v>117</v>
      </c>
      <c r="D18" s="34" t="s">
        <v>18</v>
      </c>
      <c r="E18" s="35" t="s">
        <v>118</v>
      </c>
      <c r="F18" s="35" t="s">
        <v>119</v>
      </c>
      <c r="G18" s="34" t="s">
        <v>48</v>
      </c>
      <c r="H18" s="35" t="s">
        <v>120</v>
      </c>
      <c r="I18" s="34" t="s">
        <v>11</v>
      </c>
      <c r="J18" s="34" t="s">
        <v>7</v>
      </c>
    </row>
    <row r="19" spans="1:10" ht="15" customHeight="1" x14ac:dyDescent="0.3">
      <c r="A19" s="34" t="s">
        <v>121</v>
      </c>
      <c r="B19" s="34" t="s">
        <v>16</v>
      </c>
      <c r="C19" s="34" t="s">
        <v>117</v>
      </c>
      <c r="D19" s="34" t="s">
        <v>18</v>
      </c>
      <c r="E19" s="35" t="s">
        <v>122</v>
      </c>
      <c r="F19" s="35" t="s">
        <v>123</v>
      </c>
      <c r="G19" s="34" t="s">
        <v>124</v>
      </c>
      <c r="H19" s="35" t="s">
        <v>125</v>
      </c>
      <c r="I19" s="34" t="s">
        <v>14</v>
      </c>
      <c r="J19" s="34" t="s">
        <v>7</v>
      </c>
    </row>
    <row r="20" spans="1:10" ht="15" customHeight="1" x14ac:dyDescent="0.3">
      <c r="A20" s="34" t="s">
        <v>126</v>
      </c>
      <c r="B20" s="34" t="s">
        <v>16</v>
      </c>
      <c r="C20" s="34" t="s">
        <v>127</v>
      </c>
      <c r="D20" s="34" t="s">
        <v>20</v>
      </c>
      <c r="E20" s="35" t="s">
        <v>128</v>
      </c>
      <c r="F20" s="35" t="s">
        <v>129</v>
      </c>
      <c r="G20" s="34" t="s">
        <v>48</v>
      </c>
      <c r="H20" s="35" t="s">
        <v>130</v>
      </c>
      <c r="I20" s="34" t="s">
        <v>11</v>
      </c>
      <c r="J20" s="34" t="s">
        <v>7</v>
      </c>
    </row>
    <row r="21" spans="1:10" ht="15" customHeight="1" x14ac:dyDescent="0.3">
      <c r="A21" s="34" t="s">
        <v>131</v>
      </c>
      <c r="B21" s="34" t="s">
        <v>16</v>
      </c>
      <c r="C21" s="34" t="s">
        <v>127</v>
      </c>
      <c r="D21" s="34" t="s">
        <v>20</v>
      </c>
      <c r="E21" s="35" t="s">
        <v>132</v>
      </c>
      <c r="F21" s="35" t="s">
        <v>123</v>
      </c>
      <c r="G21" s="34" t="s">
        <v>124</v>
      </c>
      <c r="H21" s="35" t="s">
        <v>133</v>
      </c>
      <c r="I21" s="34" t="s">
        <v>14</v>
      </c>
      <c r="J21" s="34" t="s">
        <v>7</v>
      </c>
    </row>
    <row r="22" spans="1:10" ht="15" customHeight="1" x14ac:dyDescent="0.3">
      <c r="A22" s="34" t="s">
        <v>134</v>
      </c>
      <c r="B22" s="34" t="s">
        <v>19</v>
      </c>
      <c r="C22" s="34" t="s">
        <v>135</v>
      </c>
      <c r="D22" s="34" t="s">
        <v>12</v>
      </c>
      <c r="E22" s="35" t="s">
        <v>136</v>
      </c>
      <c r="F22" s="35" t="s">
        <v>96</v>
      </c>
      <c r="G22" s="34" t="s">
        <v>48</v>
      </c>
      <c r="H22" s="35" t="s">
        <v>137</v>
      </c>
      <c r="I22" s="34" t="s">
        <v>11</v>
      </c>
      <c r="J22" s="34" t="s">
        <v>7</v>
      </c>
    </row>
    <row r="23" spans="1:10" ht="15" customHeight="1" x14ac:dyDescent="0.3">
      <c r="A23" s="34" t="s">
        <v>138</v>
      </c>
      <c r="B23" s="34" t="s">
        <v>19</v>
      </c>
      <c r="C23" s="34" t="s">
        <v>139</v>
      </c>
      <c r="D23" s="34" t="s">
        <v>15</v>
      </c>
      <c r="E23" s="35" t="s">
        <v>140</v>
      </c>
      <c r="F23" s="35" t="s">
        <v>104</v>
      </c>
      <c r="G23" s="34" t="s">
        <v>105</v>
      </c>
      <c r="H23" s="35" t="s">
        <v>141</v>
      </c>
      <c r="I23" s="34" t="s">
        <v>11</v>
      </c>
      <c r="J23" s="34" t="s">
        <v>7</v>
      </c>
    </row>
    <row r="24" spans="1:10" ht="15" customHeight="1" x14ac:dyDescent="0.3">
      <c r="A24" s="34" t="s">
        <v>142</v>
      </c>
      <c r="B24" s="34" t="s">
        <v>19</v>
      </c>
      <c r="C24" s="34" t="s">
        <v>139</v>
      </c>
      <c r="D24" s="34" t="s">
        <v>15</v>
      </c>
      <c r="E24" s="35" t="s">
        <v>143</v>
      </c>
      <c r="F24" s="35" t="s">
        <v>144</v>
      </c>
      <c r="G24" s="34" t="s">
        <v>64</v>
      </c>
      <c r="H24" s="35" t="s">
        <v>145</v>
      </c>
      <c r="I24" s="34" t="s">
        <v>11</v>
      </c>
      <c r="J24" s="34" t="s">
        <v>7</v>
      </c>
    </row>
    <row r="25" spans="1:10" ht="15" customHeight="1" x14ac:dyDescent="0.3">
      <c r="A25" s="34" t="s">
        <v>146</v>
      </c>
      <c r="B25" s="34" t="s">
        <v>19</v>
      </c>
      <c r="C25" s="34" t="s">
        <v>139</v>
      </c>
      <c r="D25" s="34" t="s">
        <v>15</v>
      </c>
      <c r="E25" s="35" t="s">
        <v>147</v>
      </c>
      <c r="F25" s="35" t="s">
        <v>148</v>
      </c>
      <c r="G25" s="34" t="s">
        <v>64</v>
      </c>
      <c r="H25" s="35" t="s">
        <v>149</v>
      </c>
      <c r="I25" s="34" t="s">
        <v>14</v>
      </c>
      <c r="J25" s="34" t="s">
        <v>7</v>
      </c>
    </row>
    <row r="26" spans="1:10" ht="15" customHeight="1" x14ac:dyDescent="0.3">
      <c r="A26" s="34" t="s">
        <v>150</v>
      </c>
      <c r="B26" s="34" t="s">
        <v>19</v>
      </c>
      <c r="C26" s="34" t="s">
        <v>139</v>
      </c>
      <c r="D26" s="34" t="s">
        <v>15</v>
      </c>
      <c r="E26" s="35" t="s">
        <v>151</v>
      </c>
      <c r="F26" s="35" t="s">
        <v>113</v>
      </c>
      <c r="G26" s="34" t="s">
        <v>114</v>
      </c>
      <c r="H26" s="35" t="s">
        <v>152</v>
      </c>
      <c r="I26" s="34" t="s">
        <v>11</v>
      </c>
      <c r="J26" s="34" t="s">
        <v>7</v>
      </c>
    </row>
    <row r="27" spans="1:10" ht="15" customHeight="1" x14ac:dyDescent="0.3">
      <c r="A27" s="34" t="s">
        <v>153</v>
      </c>
      <c r="B27" s="34" t="s">
        <v>19</v>
      </c>
      <c r="C27" s="34" t="s">
        <v>154</v>
      </c>
      <c r="D27" s="34" t="s">
        <v>15</v>
      </c>
      <c r="E27" s="35" t="s">
        <v>155</v>
      </c>
      <c r="F27" s="35" t="s">
        <v>156</v>
      </c>
      <c r="G27" s="34" t="s">
        <v>48</v>
      </c>
      <c r="H27" s="35" t="s">
        <v>157</v>
      </c>
      <c r="I27" s="34" t="s">
        <v>14</v>
      </c>
      <c r="J27" s="34" t="s">
        <v>7</v>
      </c>
    </row>
    <row r="28" spans="1:10" ht="15" customHeight="1" x14ac:dyDescent="0.3">
      <c r="A28" s="34" t="s">
        <v>158</v>
      </c>
      <c r="B28" s="34" t="s">
        <v>21</v>
      </c>
      <c r="C28" s="34" t="s">
        <v>159</v>
      </c>
      <c r="D28" s="34" t="s">
        <v>12</v>
      </c>
      <c r="E28" s="35" t="s">
        <v>160</v>
      </c>
      <c r="F28" s="35" t="s">
        <v>96</v>
      </c>
      <c r="G28" s="34" t="s">
        <v>48</v>
      </c>
      <c r="H28" s="35" t="s">
        <v>161</v>
      </c>
      <c r="I28" s="34" t="s">
        <v>11</v>
      </c>
      <c r="J28" s="34" t="s">
        <v>7</v>
      </c>
    </row>
    <row r="29" spans="1:10" ht="15" customHeight="1" x14ac:dyDescent="0.3">
      <c r="A29" s="34" t="s">
        <v>162</v>
      </c>
      <c r="B29" s="34" t="s">
        <v>21</v>
      </c>
      <c r="C29" s="34" t="s">
        <v>163</v>
      </c>
      <c r="D29" s="34" t="s">
        <v>15</v>
      </c>
      <c r="E29" s="35" t="s">
        <v>164</v>
      </c>
      <c r="F29" s="35" t="s">
        <v>104</v>
      </c>
      <c r="G29" s="34" t="s">
        <v>105</v>
      </c>
      <c r="H29" s="35" t="s">
        <v>165</v>
      </c>
      <c r="I29" s="34" t="s">
        <v>11</v>
      </c>
      <c r="J29" s="34" t="s">
        <v>7</v>
      </c>
    </row>
    <row r="30" spans="1:10" ht="15" customHeight="1" x14ac:dyDescent="0.3">
      <c r="A30" s="34" t="s">
        <v>166</v>
      </c>
      <c r="B30" s="34" t="s">
        <v>21</v>
      </c>
      <c r="C30" s="34" t="s">
        <v>163</v>
      </c>
      <c r="D30" s="34" t="s">
        <v>15</v>
      </c>
      <c r="E30" s="35" t="s">
        <v>167</v>
      </c>
      <c r="F30" s="35" t="s">
        <v>168</v>
      </c>
      <c r="G30" s="34" t="s">
        <v>64</v>
      </c>
      <c r="H30" s="35" t="s">
        <v>169</v>
      </c>
      <c r="I30" s="34" t="s">
        <v>14</v>
      </c>
      <c r="J30" s="34" t="s">
        <v>7</v>
      </c>
    </row>
    <row r="31" spans="1:10" ht="15" customHeight="1" x14ac:dyDescent="0.3">
      <c r="A31" s="34" t="s">
        <v>170</v>
      </c>
      <c r="B31" s="34" t="s">
        <v>21</v>
      </c>
      <c r="C31" s="34" t="s">
        <v>171</v>
      </c>
      <c r="D31" s="34" t="s">
        <v>18</v>
      </c>
      <c r="E31" s="35" t="s">
        <v>172</v>
      </c>
      <c r="F31" s="35" t="s">
        <v>173</v>
      </c>
      <c r="G31" s="34" t="s">
        <v>48</v>
      </c>
      <c r="H31" s="35" t="s">
        <v>174</v>
      </c>
      <c r="I31" s="34" t="s">
        <v>11</v>
      </c>
      <c r="J31" s="34" t="s">
        <v>7</v>
      </c>
    </row>
    <row r="32" spans="1:10" ht="15" customHeight="1" x14ac:dyDescent="0.3">
      <c r="A32" s="34" t="s">
        <v>175</v>
      </c>
      <c r="B32" s="34" t="s">
        <v>21</v>
      </c>
      <c r="C32" s="34" t="s">
        <v>176</v>
      </c>
      <c r="D32" s="34" t="s">
        <v>20</v>
      </c>
      <c r="E32" s="35" t="s">
        <v>177</v>
      </c>
      <c r="F32" s="35" t="s">
        <v>178</v>
      </c>
      <c r="G32" s="34" t="s">
        <v>48</v>
      </c>
      <c r="H32" s="35" t="s">
        <v>179</v>
      </c>
      <c r="I32" s="34" t="s">
        <v>14</v>
      </c>
      <c r="J32" s="34" t="s">
        <v>7</v>
      </c>
    </row>
    <row r="33" spans="1:10" ht="15" customHeight="1" x14ac:dyDescent="0.3">
      <c r="A33" s="34" t="s">
        <v>180</v>
      </c>
      <c r="B33" s="34" t="s">
        <v>22</v>
      </c>
      <c r="C33" s="34" t="s">
        <v>181</v>
      </c>
      <c r="D33" s="34" t="s">
        <v>12</v>
      </c>
      <c r="E33" s="35" t="s">
        <v>182</v>
      </c>
      <c r="F33" s="35" t="s">
        <v>96</v>
      </c>
      <c r="G33" s="34" t="s">
        <v>48</v>
      </c>
      <c r="H33" s="35" t="s">
        <v>183</v>
      </c>
      <c r="I33" s="34" t="s">
        <v>11</v>
      </c>
      <c r="J33" s="34" t="s">
        <v>7</v>
      </c>
    </row>
    <row r="34" spans="1:10" ht="15" customHeight="1" x14ac:dyDescent="0.3">
      <c r="A34" s="34" t="s">
        <v>184</v>
      </c>
      <c r="B34" s="34" t="s">
        <v>22</v>
      </c>
      <c r="C34" s="34" t="s">
        <v>185</v>
      </c>
      <c r="D34" s="34" t="s">
        <v>15</v>
      </c>
      <c r="E34" s="35" t="s">
        <v>186</v>
      </c>
      <c r="F34" s="35" t="s">
        <v>104</v>
      </c>
      <c r="G34" s="34" t="s">
        <v>105</v>
      </c>
      <c r="H34" s="35" t="s">
        <v>187</v>
      </c>
      <c r="I34" s="34" t="s">
        <v>11</v>
      </c>
      <c r="J34" s="34" t="s">
        <v>7</v>
      </c>
    </row>
    <row r="35" spans="1:10" ht="15" customHeight="1" x14ac:dyDescent="0.3">
      <c r="A35" s="34" t="s">
        <v>188</v>
      </c>
      <c r="B35" s="34" t="s">
        <v>22</v>
      </c>
      <c r="C35" s="34" t="s">
        <v>185</v>
      </c>
      <c r="D35" s="34" t="s">
        <v>15</v>
      </c>
      <c r="E35" s="35" t="s">
        <v>189</v>
      </c>
      <c r="F35" s="35" t="s">
        <v>190</v>
      </c>
      <c r="G35" s="34" t="s">
        <v>114</v>
      </c>
      <c r="H35" s="35" t="s">
        <v>191</v>
      </c>
      <c r="I35" s="34" t="s">
        <v>11</v>
      </c>
      <c r="J35" s="34" t="s">
        <v>7</v>
      </c>
    </row>
    <row r="36" spans="1:10" ht="15" customHeight="1" x14ac:dyDescent="0.3">
      <c r="A36" s="34" t="s">
        <v>192</v>
      </c>
      <c r="B36" s="34" t="s">
        <v>22</v>
      </c>
      <c r="C36" s="34" t="s">
        <v>185</v>
      </c>
      <c r="D36" s="34" t="s">
        <v>15</v>
      </c>
      <c r="E36" s="35" t="s">
        <v>193</v>
      </c>
      <c r="F36" s="35" t="s">
        <v>194</v>
      </c>
      <c r="G36" s="34" t="s">
        <v>64</v>
      </c>
      <c r="H36" s="35" t="s">
        <v>195</v>
      </c>
      <c r="I36" s="34" t="s">
        <v>14</v>
      </c>
      <c r="J36" s="34" t="s">
        <v>7</v>
      </c>
    </row>
    <row r="37" spans="1:10" ht="15" customHeight="1" x14ac:dyDescent="0.3">
      <c r="A37" s="34" t="s">
        <v>196</v>
      </c>
      <c r="B37" s="34" t="s">
        <v>22</v>
      </c>
      <c r="C37" s="34" t="s">
        <v>181</v>
      </c>
      <c r="D37" s="34" t="s">
        <v>12</v>
      </c>
      <c r="E37" s="35" t="s">
        <v>197</v>
      </c>
      <c r="F37" s="35" t="s">
        <v>100</v>
      </c>
      <c r="G37" s="34" t="s">
        <v>54</v>
      </c>
      <c r="H37" s="35" t="s">
        <v>198</v>
      </c>
      <c r="I37" s="34" t="s">
        <v>11</v>
      </c>
      <c r="J37" s="34" t="s">
        <v>7</v>
      </c>
    </row>
    <row r="38" spans="1:10" ht="15" customHeight="1" x14ac:dyDescent="0.3">
      <c r="A38" s="34" t="s">
        <v>199</v>
      </c>
      <c r="B38" s="34" t="s">
        <v>23</v>
      </c>
      <c r="C38" s="34" t="s">
        <v>200</v>
      </c>
      <c r="D38" s="34" t="s">
        <v>12</v>
      </c>
      <c r="E38" s="35" t="s">
        <v>201</v>
      </c>
      <c r="F38" s="35" t="s">
        <v>96</v>
      </c>
      <c r="G38" s="34" t="s">
        <v>48</v>
      </c>
      <c r="H38" s="35" t="s">
        <v>202</v>
      </c>
      <c r="I38" s="34" t="s">
        <v>14</v>
      </c>
      <c r="J38" s="34" t="s">
        <v>7</v>
      </c>
    </row>
    <row r="39" spans="1:10" ht="15" customHeight="1" x14ac:dyDescent="0.3">
      <c r="A39" s="34" t="s">
        <v>203</v>
      </c>
      <c r="B39" s="34" t="s">
        <v>23</v>
      </c>
      <c r="C39" s="34" t="s">
        <v>204</v>
      </c>
      <c r="D39" s="34" t="s">
        <v>15</v>
      </c>
      <c r="E39" s="35" t="s">
        <v>205</v>
      </c>
      <c r="F39" s="35" t="s">
        <v>104</v>
      </c>
      <c r="G39" s="34" t="s">
        <v>105</v>
      </c>
      <c r="H39" s="35" t="s">
        <v>206</v>
      </c>
      <c r="I39" s="34" t="s">
        <v>11</v>
      </c>
      <c r="J39" s="34" t="s">
        <v>7</v>
      </c>
    </row>
    <row r="40" spans="1:10" ht="15" customHeight="1" x14ac:dyDescent="0.3">
      <c r="A40" s="34" t="s">
        <v>207</v>
      </c>
      <c r="B40" s="34" t="s">
        <v>23</v>
      </c>
      <c r="C40" s="34" t="s">
        <v>208</v>
      </c>
      <c r="D40" s="34" t="s">
        <v>15</v>
      </c>
      <c r="E40" s="35" t="s">
        <v>209</v>
      </c>
      <c r="F40" s="35" t="s">
        <v>210</v>
      </c>
      <c r="G40" s="34" t="s">
        <v>48</v>
      </c>
      <c r="H40" s="35" t="s">
        <v>211</v>
      </c>
      <c r="I40" s="34" t="s">
        <v>14</v>
      </c>
      <c r="J40" s="34" t="s">
        <v>7</v>
      </c>
    </row>
    <row r="41" spans="1:10" ht="15" customHeight="1" x14ac:dyDescent="0.3">
      <c r="A41" s="34" t="s">
        <v>212</v>
      </c>
      <c r="B41" s="34" t="s">
        <v>23</v>
      </c>
      <c r="C41" s="34" t="s">
        <v>213</v>
      </c>
      <c r="D41" s="34" t="s">
        <v>15</v>
      </c>
      <c r="E41" s="35" t="s">
        <v>214</v>
      </c>
      <c r="F41" s="35" t="s">
        <v>215</v>
      </c>
      <c r="G41" s="34" t="s">
        <v>48</v>
      </c>
      <c r="H41" s="35" t="s">
        <v>216</v>
      </c>
      <c r="I41" s="34" t="s">
        <v>11</v>
      </c>
      <c r="J41" s="34" t="s">
        <v>7</v>
      </c>
    </row>
    <row r="42" spans="1:10" ht="15" customHeight="1" x14ac:dyDescent="0.3">
      <c r="A42" s="34" t="s">
        <v>217</v>
      </c>
      <c r="B42" s="34" t="s">
        <v>23</v>
      </c>
      <c r="C42" s="34" t="s">
        <v>213</v>
      </c>
      <c r="D42" s="34" t="s">
        <v>15</v>
      </c>
      <c r="E42" s="35" t="s">
        <v>218</v>
      </c>
      <c r="F42" s="35" t="s">
        <v>219</v>
      </c>
      <c r="G42" s="34" t="s">
        <v>64</v>
      </c>
      <c r="H42" s="35" t="s">
        <v>220</v>
      </c>
      <c r="I42" s="34" t="s">
        <v>14</v>
      </c>
      <c r="J42" s="34" t="s">
        <v>7</v>
      </c>
    </row>
    <row r="43" spans="1:10" ht="15" customHeight="1" x14ac:dyDescent="0.3">
      <c r="A43" s="34" t="s">
        <v>221</v>
      </c>
      <c r="B43" s="34" t="s">
        <v>24</v>
      </c>
      <c r="C43" s="34" t="s">
        <v>222</v>
      </c>
      <c r="D43" s="34" t="s">
        <v>12</v>
      </c>
      <c r="E43" s="35" t="s">
        <v>223</v>
      </c>
      <c r="F43" s="35" t="s">
        <v>96</v>
      </c>
      <c r="G43" s="34" t="s">
        <v>48</v>
      </c>
      <c r="H43" s="35" t="s">
        <v>224</v>
      </c>
      <c r="I43" s="34" t="s">
        <v>11</v>
      </c>
      <c r="J43" s="34" t="s">
        <v>7</v>
      </c>
    </row>
    <row r="44" spans="1:10" ht="15" customHeight="1" x14ac:dyDescent="0.3">
      <c r="A44" s="34" t="s">
        <v>225</v>
      </c>
      <c r="B44" s="34" t="s">
        <v>24</v>
      </c>
      <c r="C44" s="34" t="s">
        <v>226</v>
      </c>
      <c r="D44" s="34" t="s">
        <v>15</v>
      </c>
      <c r="E44" s="35" t="s">
        <v>227</v>
      </c>
      <c r="F44" s="35" t="s">
        <v>104</v>
      </c>
      <c r="G44" s="34" t="s">
        <v>105</v>
      </c>
      <c r="H44" s="35" t="s">
        <v>228</v>
      </c>
      <c r="I44" s="34" t="s">
        <v>11</v>
      </c>
      <c r="J44" s="34" t="s">
        <v>7</v>
      </c>
    </row>
    <row r="45" spans="1:10" ht="15" customHeight="1" x14ac:dyDescent="0.3">
      <c r="A45" s="34" t="s">
        <v>229</v>
      </c>
      <c r="B45" s="34" t="s">
        <v>24</v>
      </c>
      <c r="C45" s="34" t="s">
        <v>230</v>
      </c>
      <c r="D45" s="34" t="s">
        <v>15</v>
      </c>
      <c r="E45" s="35" t="s">
        <v>231</v>
      </c>
      <c r="F45" s="35" t="s">
        <v>232</v>
      </c>
      <c r="G45" s="34" t="s">
        <v>48</v>
      </c>
      <c r="H45" s="35" t="s">
        <v>233</v>
      </c>
      <c r="I45" s="34" t="s">
        <v>11</v>
      </c>
      <c r="J45" s="34" t="s">
        <v>7</v>
      </c>
    </row>
    <row r="46" spans="1:10" ht="15" customHeight="1" x14ac:dyDescent="0.3">
      <c r="A46" s="34" t="s">
        <v>234</v>
      </c>
      <c r="B46" s="34" t="s">
        <v>24</v>
      </c>
      <c r="C46" s="34" t="s">
        <v>230</v>
      </c>
      <c r="D46" s="34" t="s">
        <v>15</v>
      </c>
      <c r="E46" s="35" t="s">
        <v>235</v>
      </c>
      <c r="F46" s="35" t="s">
        <v>236</v>
      </c>
      <c r="G46" s="34" t="s">
        <v>64</v>
      </c>
      <c r="H46" s="35" t="s">
        <v>145</v>
      </c>
      <c r="I46" s="34" t="s">
        <v>11</v>
      </c>
      <c r="J46" s="34" t="s">
        <v>7</v>
      </c>
    </row>
    <row r="47" spans="1:10" ht="15" customHeight="1" x14ac:dyDescent="0.3">
      <c r="A47" s="34" t="s">
        <v>237</v>
      </c>
      <c r="B47" s="34" t="s">
        <v>24</v>
      </c>
      <c r="C47" s="34" t="s">
        <v>238</v>
      </c>
      <c r="D47" s="34" t="s">
        <v>15</v>
      </c>
      <c r="E47" s="35" t="s">
        <v>239</v>
      </c>
      <c r="F47" s="35" t="s">
        <v>240</v>
      </c>
      <c r="G47" s="34" t="s">
        <v>48</v>
      </c>
      <c r="H47" s="35" t="s">
        <v>241</v>
      </c>
      <c r="I47" s="34" t="s">
        <v>11</v>
      </c>
      <c r="J47" s="34" t="s">
        <v>7</v>
      </c>
    </row>
    <row r="48" spans="1:10" ht="15" customHeight="1" x14ac:dyDescent="0.3">
      <c r="A48" s="34" t="s">
        <v>242</v>
      </c>
      <c r="B48" s="34" t="s">
        <v>24</v>
      </c>
      <c r="C48" s="34" t="s">
        <v>243</v>
      </c>
      <c r="D48" s="34" t="s">
        <v>12</v>
      </c>
      <c r="E48" s="35" t="s">
        <v>244</v>
      </c>
      <c r="F48" s="35" t="s">
        <v>96</v>
      </c>
      <c r="G48" s="34" t="s">
        <v>48</v>
      </c>
      <c r="H48" s="35" t="s">
        <v>245</v>
      </c>
      <c r="I48" s="34" t="s">
        <v>14</v>
      </c>
      <c r="J48" s="34" t="s">
        <v>7</v>
      </c>
    </row>
    <row r="49" spans="1:10" ht="15" customHeight="1" x14ac:dyDescent="0.3">
      <c r="A49" s="34" t="s">
        <v>246</v>
      </c>
      <c r="B49" s="34" t="s">
        <v>24</v>
      </c>
      <c r="C49" s="34" t="s">
        <v>247</v>
      </c>
      <c r="D49" s="34" t="s">
        <v>12</v>
      </c>
      <c r="E49" s="35" t="s">
        <v>248</v>
      </c>
      <c r="F49" s="35" t="s">
        <v>240</v>
      </c>
      <c r="G49" s="34" t="s">
        <v>48</v>
      </c>
      <c r="H49" s="35" t="s">
        <v>249</v>
      </c>
      <c r="I49" s="34" t="s">
        <v>14</v>
      </c>
      <c r="J49" s="34" t="s">
        <v>7</v>
      </c>
    </row>
    <row r="50" spans="1:10" ht="15" customHeight="1" x14ac:dyDescent="0.3">
      <c r="A50" s="34" t="s">
        <v>250</v>
      </c>
      <c r="B50" s="34" t="s">
        <v>25</v>
      </c>
      <c r="C50" s="34" t="s">
        <v>251</v>
      </c>
      <c r="D50" s="34" t="s">
        <v>12</v>
      </c>
      <c r="E50" s="35" t="s">
        <v>252</v>
      </c>
      <c r="F50" s="35" t="s">
        <v>96</v>
      </c>
      <c r="G50" s="34" t="s">
        <v>48</v>
      </c>
      <c r="H50" s="35" t="s">
        <v>253</v>
      </c>
      <c r="I50" s="34" t="s">
        <v>11</v>
      </c>
      <c r="J50" s="34" t="s">
        <v>7</v>
      </c>
    </row>
    <row r="51" spans="1:10" ht="15" customHeight="1" x14ac:dyDescent="0.3">
      <c r="A51" s="34" t="s">
        <v>254</v>
      </c>
      <c r="B51" s="34" t="s">
        <v>25</v>
      </c>
      <c r="C51" s="34" t="s">
        <v>255</v>
      </c>
      <c r="D51" s="34" t="s">
        <v>15</v>
      </c>
      <c r="E51" s="35" t="s">
        <v>256</v>
      </c>
      <c r="F51" s="35" t="s">
        <v>119</v>
      </c>
      <c r="G51" s="34" t="s">
        <v>105</v>
      </c>
      <c r="H51" s="35" t="s">
        <v>257</v>
      </c>
      <c r="I51" s="34" t="s">
        <v>11</v>
      </c>
      <c r="J51" s="34" t="s">
        <v>7</v>
      </c>
    </row>
    <row r="52" spans="1:10" ht="15" customHeight="1" x14ac:dyDescent="0.3">
      <c r="A52" s="34" t="s">
        <v>258</v>
      </c>
      <c r="B52" s="34" t="s">
        <v>25</v>
      </c>
      <c r="C52" s="34" t="s">
        <v>255</v>
      </c>
      <c r="D52" s="34" t="s">
        <v>15</v>
      </c>
      <c r="E52" s="35" t="s">
        <v>259</v>
      </c>
      <c r="F52" s="35" t="s">
        <v>260</v>
      </c>
      <c r="G52" s="34" t="s">
        <v>114</v>
      </c>
      <c r="H52" s="35" t="s">
        <v>261</v>
      </c>
      <c r="I52" s="34" t="s">
        <v>11</v>
      </c>
      <c r="J52" s="34" t="s">
        <v>7</v>
      </c>
    </row>
    <row r="53" spans="1:10" ht="15" customHeight="1" x14ac:dyDescent="0.3">
      <c r="A53" s="34" t="s">
        <v>262</v>
      </c>
      <c r="B53" s="34" t="s">
        <v>25</v>
      </c>
      <c r="C53" s="34" t="s">
        <v>263</v>
      </c>
      <c r="D53" s="34" t="s">
        <v>15</v>
      </c>
      <c r="E53" s="35" t="s">
        <v>264</v>
      </c>
      <c r="F53" s="35" t="s">
        <v>265</v>
      </c>
      <c r="G53" s="34" t="s">
        <v>48</v>
      </c>
      <c r="H53" s="35" t="s">
        <v>266</v>
      </c>
      <c r="I53" s="34" t="s">
        <v>11</v>
      </c>
      <c r="J53" s="34" t="s">
        <v>7</v>
      </c>
    </row>
    <row r="54" spans="1:10" ht="15" customHeight="1" x14ac:dyDescent="0.3">
      <c r="A54" s="34" t="s">
        <v>267</v>
      </c>
      <c r="B54" s="34" t="s">
        <v>25</v>
      </c>
      <c r="C54" s="34" t="s">
        <v>263</v>
      </c>
      <c r="D54" s="34" t="s">
        <v>15</v>
      </c>
      <c r="E54" s="35" t="s">
        <v>268</v>
      </c>
      <c r="F54" s="35" t="s">
        <v>269</v>
      </c>
      <c r="G54" s="34" t="s">
        <v>64</v>
      </c>
      <c r="H54" s="35" t="s">
        <v>270</v>
      </c>
      <c r="I54" s="34" t="s">
        <v>11</v>
      </c>
      <c r="J54" s="34" t="s">
        <v>7</v>
      </c>
    </row>
    <row r="55" spans="1:10" ht="15" customHeight="1" x14ac:dyDescent="0.3">
      <c r="A55" s="34" t="s">
        <v>271</v>
      </c>
      <c r="B55" s="34" t="s">
        <v>26</v>
      </c>
      <c r="C55" s="34" t="s">
        <v>272</v>
      </c>
      <c r="D55" s="34" t="s">
        <v>12</v>
      </c>
      <c r="E55" s="35" t="s">
        <v>273</v>
      </c>
      <c r="F55" s="35" t="s">
        <v>96</v>
      </c>
      <c r="G55" s="34" t="s">
        <v>48</v>
      </c>
      <c r="H55" s="35" t="s">
        <v>274</v>
      </c>
      <c r="I55" s="34" t="s">
        <v>14</v>
      </c>
      <c r="J55" s="34" t="s">
        <v>7</v>
      </c>
    </row>
    <row r="56" spans="1:10" ht="15" customHeight="1" x14ac:dyDescent="0.3">
      <c r="A56" s="34" t="s">
        <v>275</v>
      </c>
      <c r="B56" s="34" t="s">
        <v>26</v>
      </c>
      <c r="C56" s="34" t="s">
        <v>276</v>
      </c>
      <c r="D56" s="34" t="s">
        <v>15</v>
      </c>
      <c r="E56" s="35" t="s">
        <v>277</v>
      </c>
      <c r="F56" s="35" t="s">
        <v>278</v>
      </c>
      <c r="G56" s="34" t="s">
        <v>105</v>
      </c>
      <c r="H56" s="35" t="s">
        <v>279</v>
      </c>
      <c r="I56" s="34" t="s">
        <v>14</v>
      </c>
      <c r="J56" s="34" t="s">
        <v>7</v>
      </c>
    </row>
    <row r="57" spans="1:10" ht="15" customHeight="1" x14ac:dyDescent="0.3">
      <c r="A57" s="34" t="s">
        <v>280</v>
      </c>
      <c r="B57" s="34" t="s">
        <v>26</v>
      </c>
      <c r="C57" s="34" t="s">
        <v>281</v>
      </c>
      <c r="D57" s="34" t="s">
        <v>12</v>
      </c>
      <c r="E57" s="35" t="s">
        <v>282</v>
      </c>
      <c r="F57" s="35" t="s">
        <v>96</v>
      </c>
      <c r="G57" s="34" t="s">
        <v>48</v>
      </c>
      <c r="H57" s="35" t="s">
        <v>283</v>
      </c>
      <c r="I57" s="34" t="s">
        <v>14</v>
      </c>
      <c r="J57" s="34" t="s">
        <v>7</v>
      </c>
    </row>
    <row r="58" spans="1:10" ht="15" customHeight="1" x14ac:dyDescent="0.3">
      <c r="A58" s="34" t="s">
        <v>284</v>
      </c>
      <c r="B58" s="34" t="s">
        <v>26</v>
      </c>
      <c r="C58" s="34" t="s">
        <v>285</v>
      </c>
      <c r="D58" s="34" t="s">
        <v>15</v>
      </c>
      <c r="E58" s="35" t="s">
        <v>286</v>
      </c>
      <c r="F58" s="35" t="s">
        <v>278</v>
      </c>
      <c r="G58" s="34" t="s">
        <v>105</v>
      </c>
      <c r="H58" s="35" t="s">
        <v>287</v>
      </c>
      <c r="I58" s="34" t="s">
        <v>14</v>
      </c>
      <c r="J58" s="34" t="s">
        <v>7</v>
      </c>
    </row>
    <row r="59" spans="1:10" ht="15" customHeight="1" x14ac:dyDescent="0.3">
      <c r="A59" s="34" t="s">
        <v>288</v>
      </c>
      <c r="B59" s="34" t="s">
        <v>27</v>
      </c>
      <c r="C59" s="34" t="s">
        <v>289</v>
      </c>
      <c r="D59" s="34" t="s">
        <v>12</v>
      </c>
      <c r="E59" s="35" t="s">
        <v>290</v>
      </c>
      <c r="F59" s="35" t="s">
        <v>96</v>
      </c>
      <c r="G59" s="34" t="s">
        <v>48</v>
      </c>
      <c r="H59" s="35" t="s">
        <v>291</v>
      </c>
      <c r="I59" s="34" t="s">
        <v>14</v>
      </c>
      <c r="J59" s="34" t="s">
        <v>7</v>
      </c>
    </row>
    <row r="60" spans="1:10" ht="15" customHeight="1" x14ac:dyDescent="0.3">
      <c r="A60" s="34" t="s">
        <v>292</v>
      </c>
      <c r="B60" s="34" t="s">
        <v>27</v>
      </c>
      <c r="C60" s="34" t="s">
        <v>293</v>
      </c>
      <c r="D60" s="34" t="s">
        <v>15</v>
      </c>
      <c r="E60" s="35" t="s">
        <v>294</v>
      </c>
      <c r="F60" s="35" t="s">
        <v>295</v>
      </c>
      <c r="G60" s="34" t="s">
        <v>48</v>
      </c>
      <c r="H60" s="35" t="s">
        <v>296</v>
      </c>
      <c r="I60" s="34" t="s">
        <v>14</v>
      </c>
      <c r="J60" s="34" t="s">
        <v>7</v>
      </c>
    </row>
    <row r="61" spans="1:10" ht="15" customHeight="1" x14ac:dyDescent="0.3">
      <c r="A61" s="34" t="s">
        <v>297</v>
      </c>
      <c r="B61" s="34" t="s">
        <v>27</v>
      </c>
      <c r="C61" s="34" t="s">
        <v>298</v>
      </c>
      <c r="D61" s="34" t="s">
        <v>15</v>
      </c>
      <c r="E61" s="35" t="s">
        <v>299</v>
      </c>
      <c r="F61" s="35" t="s">
        <v>300</v>
      </c>
      <c r="G61" s="34" t="s">
        <v>48</v>
      </c>
      <c r="H61" s="35" t="s">
        <v>301</v>
      </c>
      <c r="I61" s="34" t="s">
        <v>14</v>
      </c>
      <c r="J61" s="34" t="s">
        <v>7</v>
      </c>
    </row>
    <row r="62" spans="1:10" ht="15" customHeight="1" x14ac:dyDescent="0.3">
      <c r="A62" s="34" t="s">
        <v>302</v>
      </c>
      <c r="B62" s="34" t="s">
        <v>28</v>
      </c>
      <c r="C62" s="34" t="s">
        <v>303</v>
      </c>
      <c r="D62" s="34" t="s">
        <v>12</v>
      </c>
      <c r="E62" s="35" t="s">
        <v>304</v>
      </c>
      <c r="F62" s="35" t="s">
        <v>96</v>
      </c>
      <c r="G62" s="34" t="s">
        <v>48</v>
      </c>
      <c r="H62" s="35" t="s">
        <v>305</v>
      </c>
      <c r="I62" s="34" t="s">
        <v>14</v>
      </c>
      <c r="J62" s="34" t="s">
        <v>7</v>
      </c>
    </row>
    <row r="63" spans="1:10" ht="15" customHeight="1" x14ac:dyDescent="0.3">
      <c r="A63" s="34" t="s">
        <v>306</v>
      </c>
      <c r="B63" s="34" t="s">
        <v>28</v>
      </c>
      <c r="C63" s="34" t="s">
        <v>307</v>
      </c>
      <c r="D63" s="34" t="s">
        <v>15</v>
      </c>
      <c r="E63" s="35" t="s">
        <v>308</v>
      </c>
      <c r="F63" s="35" t="s">
        <v>309</v>
      </c>
      <c r="G63" s="34" t="s">
        <v>48</v>
      </c>
      <c r="H63" s="35" t="s">
        <v>310</v>
      </c>
      <c r="I63" s="34" t="s">
        <v>14</v>
      </c>
      <c r="J63" s="34" t="s">
        <v>7</v>
      </c>
    </row>
    <row r="64" spans="1:10" ht="15" customHeight="1" x14ac:dyDescent="0.3">
      <c r="A64" s="34" t="s">
        <v>311</v>
      </c>
      <c r="B64" s="34" t="s">
        <v>28</v>
      </c>
      <c r="C64" s="34" t="s">
        <v>312</v>
      </c>
      <c r="D64" s="34" t="s">
        <v>15</v>
      </c>
      <c r="E64" s="35" t="s">
        <v>313</v>
      </c>
      <c r="F64" s="35" t="s">
        <v>314</v>
      </c>
      <c r="G64" s="34" t="s">
        <v>48</v>
      </c>
      <c r="H64" s="35" t="s">
        <v>315</v>
      </c>
      <c r="I64" s="34" t="s">
        <v>14</v>
      </c>
      <c r="J64" s="34" t="s">
        <v>7</v>
      </c>
    </row>
    <row r="65" spans="1:10" ht="15" customHeight="1" x14ac:dyDescent="0.3">
      <c r="A65" s="34" t="s">
        <v>316</v>
      </c>
      <c r="B65" s="34" t="s">
        <v>29</v>
      </c>
      <c r="C65" s="34" t="s">
        <v>317</v>
      </c>
      <c r="D65" s="34" t="s">
        <v>12</v>
      </c>
      <c r="E65" s="35" t="s">
        <v>318</v>
      </c>
      <c r="F65" s="35" t="s">
        <v>96</v>
      </c>
      <c r="G65" s="34" t="s">
        <v>48</v>
      </c>
      <c r="H65" s="35" t="s">
        <v>319</v>
      </c>
      <c r="I65" s="34" t="s">
        <v>14</v>
      </c>
      <c r="J65" s="34" t="s">
        <v>7</v>
      </c>
    </row>
    <row r="66" spans="1:10" ht="15" customHeight="1" x14ac:dyDescent="0.3">
      <c r="A66" s="34" t="s">
        <v>320</v>
      </c>
      <c r="B66" s="34" t="s">
        <v>29</v>
      </c>
      <c r="C66" s="34" t="s">
        <v>321</v>
      </c>
      <c r="D66" s="34" t="s">
        <v>15</v>
      </c>
      <c r="E66" s="35" t="s">
        <v>322</v>
      </c>
      <c r="F66" s="35" t="s">
        <v>104</v>
      </c>
      <c r="G66" s="34" t="s">
        <v>105</v>
      </c>
      <c r="H66" s="35" t="s">
        <v>323</v>
      </c>
      <c r="I66" s="34" t="s">
        <v>14</v>
      </c>
      <c r="J66" s="34" t="s">
        <v>7</v>
      </c>
    </row>
    <row r="67" spans="1:10" ht="15" customHeight="1" x14ac:dyDescent="0.3">
      <c r="A67" s="34" t="s">
        <v>324</v>
      </c>
      <c r="B67" s="34" t="s">
        <v>29</v>
      </c>
      <c r="C67" s="34" t="s">
        <v>325</v>
      </c>
      <c r="D67" s="34" t="s">
        <v>15</v>
      </c>
      <c r="E67" s="35" t="s">
        <v>326</v>
      </c>
      <c r="F67" s="35" t="s">
        <v>327</v>
      </c>
      <c r="G67" s="34" t="s">
        <v>48</v>
      </c>
      <c r="H67" s="35" t="s">
        <v>328</v>
      </c>
      <c r="I67" s="34" t="s">
        <v>14</v>
      </c>
      <c r="J67" s="34" t="s">
        <v>7</v>
      </c>
    </row>
    <row r="68" spans="1:10" ht="15" customHeight="1" x14ac:dyDescent="0.3">
      <c r="A68" s="34" t="s">
        <v>329</v>
      </c>
      <c r="B68" s="34" t="s">
        <v>30</v>
      </c>
      <c r="C68" s="34" t="s">
        <v>330</v>
      </c>
      <c r="D68" s="34" t="s">
        <v>12</v>
      </c>
      <c r="E68" s="35" t="s">
        <v>331</v>
      </c>
      <c r="F68" s="35" t="s">
        <v>96</v>
      </c>
      <c r="G68" s="34" t="s">
        <v>48</v>
      </c>
      <c r="H68" s="35" t="s">
        <v>332</v>
      </c>
      <c r="I68" s="34" t="s">
        <v>14</v>
      </c>
      <c r="J68" s="34" t="s">
        <v>7</v>
      </c>
    </row>
    <row r="69" spans="1:10" ht="15" customHeight="1" x14ac:dyDescent="0.3">
      <c r="A69" s="34" t="s">
        <v>333</v>
      </c>
      <c r="B69" s="34" t="s">
        <v>30</v>
      </c>
      <c r="C69" s="34" t="s">
        <v>334</v>
      </c>
      <c r="D69" s="34" t="s">
        <v>15</v>
      </c>
      <c r="E69" s="35" t="s">
        <v>335</v>
      </c>
      <c r="F69" s="35" t="s">
        <v>336</v>
      </c>
      <c r="G69" s="34" t="s">
        <v>48</v>
      </c>
      <c r="H69" s="35" t="s">
        <v>337</v>
      </c>
      <c r="I69" s="34" t="s">
        <v>14</v>
      </c>
      <c r="J69" s="34" t="s">
        <v>7</v>
      </c>
    </row>
    <row r="70" spans="1:10" ht="15" customHeight="1" x14ac:dyDescent="0.3">
      <c r="A70" s="34" t="s">
        <v>338</v>
      </c>
      <c r="B70" s="34" t="s">
        <v>31</v>
      </c>
      <c r="C70" s="34" t="s">
        <v>339</v>
      </c>
      <c r="D70" s="34" t="s">
        <v>12</v>
      </c>
      <c r="E70" s="35" t="s">
        <v>340</v>
      </c>
      <c r="F70" s="35" t="s">
        <v>341</v>
      </c>
      <c r="G70" s="34" t="s">
        <v>48</v>
      </c>
      <c r="H70" s="35" t="s">
        <v>342</v>
      </c>
      <c r="I70" s="34" t="s">
        <v>14</v>
      </c>
      <c r="J70" s="34" t="s">
        <v>7</v>
      </c>
    </row>
    <row r="71" spans="1:10" ht="15" customHeight="1" x14ac:dyDescent="0.3">
      <c r="A71" s="34" t="s">
        <v>343</v>
      </c>
      <c r="B71" s="34" t="s">
        <v>31</v>
      </c>
      <c r="C71" s="34" t="s">
        <v>344</v>
      </c>
      <c r="D71" s="34" t="s">
        <v>12</v>
      </c>
      <c r="E71" s="35" t="s">
        <v>345</v>
      </c>
      <c r="F71" s="35" t="s">
        <v>346</v>
      </c>
      <c r="G71" s="34" t="s">
        <v>48</v>
      </c>
      <c r="H71" s="35" t="s">
        <v>347</v>
      </c>
      <c r="I71" s="34" t="s">
        <v>14</v>
      </c>
      <c r="J71" s="34" t="s">
        <v>7</v>
      </c>
    </row>
    <row r="72" spans="1:10" ht="15" customHeight="1" x14ac:dyDescent="0.3">
      <c r="A72" s="34" t="s">
        <v>348</v>
      </c>
      <c r="B72" s="34" t="s">
        <v>31</v>
      </c>
      <c r="C72" s="34" t="s">
        <v>349</v>
      </c>
      <c r="D72" s="34" t="s">
        <v>12</v>
      </c>
      <c r="E72" s="35" t="s">
        <v>350</v>
      </c>
      <c r="F72" s="35" t="s">
        <v>240</v>
      </c>
      <c r="G72" s="34" t="s">
        <v>48</v>
      </c>
      <c r="H72" s="35" t="s">
        <v>351</v>
      </c>
      <c r="I72" s="34" t="s">
        <v>14</v>
      </c>
      <c r="J72" s="34" t="s">
        <v>7</v>
      </c>
    </row>
    <row r="73" spans="1:10" ht="15" customHeight="1" x14ac:dyDescent="0.3">
      <c r="A73" s="34" t="s">
        <v>352</v>
      </c>
      <c r="B73" s="34" t="s">
        <v>31</v>
      </c>
      <c r="C73" s="34" t="s">
        <v>353</v>
      </c>
      <c r="D73" s="34" t="s">
        <v>12</v>
      </c>
      <c r="E73" s="35" t="s">
        <v>354</v>
      </c>
      <c r="F73" s="35" t="s">
        <v>346</v>
      </c>
      <c r="G73" s="34" t="s">
        <v>48</v>
      </c>
      <c r="H73" s="35" t="s">
        <v>355</v>
      </c>
      <c r="I73" s="34" t="s">
        <v>14</v>
      </c>
      <c r="J73" s="34" t="s">
        <v>7</v>
      </c>
    </row>
    <row r="74" spans="1:10" ht="15" customHeight="1" x14ac:dyDescent="0.3">
      <c r="A74" s="34" t="s">
        <v>356</v>
      </c>
      <c r="B74" s="34" t="s">
        <v>32</v>
      </c>
      <c r="C74" s="34" t="s">
        <v>13</v>
      </c>
      <c r="D74" s="34" t="s">
        <v>12</v>
      </c>
      <c r="E74" s="35" t="s">
        <v>357</v>
      </c>
      <c r="F74" s="35" t="s">
        <v>358</v>
      </c>
      <c r="G74" s="34" t="s">
        <v>54</v>
      </c>
      <c r="H74" s="35" t="s">
        <v>359</v>
      </c>
      <c r="I74" s="34" t="s">
        <v>11</v>
      </c>
      <c r="J74" s="34" t="s">
        <v>7</v>
      </c>
    </row>
    <row r="75" spans="1:10" ht="15" customHeight="1" x14ac:dyDescent="0.3">
      <c r="A75" s="34" t="s">
        <v>360</v>
      </c>
      <c r="B75" s="34" t="s">
        <v>32</v>
      </c>
      <c r="C75" s="34" t="s">
        <v>13</v>
      </c>
      <c r="D75" s="34" t="s">
        <v>12</v>
      </c>
      <c r="E75" s="35" t="s">
        <v>361</v>
      </c>
      <c r="F75" s="35" t="s">
        <v>91</v>
      </c>
      <c r="G75" s="34" t="s">
        <v>54</v>
      </c>
      <c r="H75" s="35" t="s">
        <v>198</v>
      </c>
      <c r="I75" s="34" t="s">
        <v>11</v>
      </c>
      <c r="J75" s="34" t="s">
        <v>7</v>
      </c>
    </row>
    <row r="76" spans="1:10" ht="15" customHeight="1" x14ac:dyDescent="0.3">
      <c r="A76" s="34" t="s">
        <v>362</v>
      </c>
      <c r="B76" s="34" t="s">
        <v>32</v>
      </c>
      <c r="C76" s="34" t="s">
        <v>363</v>
      </c>
      <c r="D76" s="34" t="s">
        <v>12</v>
      </c>
      <c r="E76" s="35" t="s">
        <v>364</v>
      </c>
      <c r="F76" s="35" t="s">
        <v>365</v>
      </c>
      <c r="G76" s="34" t="s">
        <v>366</v>
      </c>
      <c r="H76" s="35" t="s">
        <v>367</v>
      </c>
      <c r="I76" s="34" t="s">
        <v>11</v>
      </c>
      <c r="J76" s="34" t="s">
        <v>7</v>
      </c>
    </row>
    <row r="77" spans="1:10" ht="15" customHeight="1" x14ac:dyDescent="0.3">
      <c r="A77" s="34" t="s">
        <v>368</v>
      </c>
      <c r="B77" s="34" t="s">
        <v>32</v>
      </c>
      <c r="C77" s="34" t="s">
        <v>369</v>
      </c>
      <c r="D77" s="34" t="s">
        <v>15</v>
      </c>
      <c r="E77" s="35" t="s">
        <v>370</v>
      </c>
      <c r="F77" s="35" t="s">
        <v>371</v>
      </c>
      <c r="G77" s="34" t="s">
        <v>64</v>
      </c>
      <c r="H77" s="35" t="s">
        <v>372</v>
      </c>
      <c r="I77" s="34" t="s">
        <v>14</v>
      </c>
      <c r="J77" s="34" t="s">
        <v>7</v>
      </c>
    </row>
    <row r="78" spans="1:10" ht="15" customHeight="1" x14ac:dyDescent="0.3">
      <c r="A78" s="34" t="s">
        <v>373</v>
      </c>
      <c r="B78" s="34" t="s">
        <v>32</v>
      </c>
      <c r="C78" s="34" t="s">
        <v>374</v>
      </c>
      <c r="D78" s="34" t="s">
        <v>15</v>
      </c>
      <c r="E78" s="35" t="s">
        <v>375</v>
      </c>
      <c r="F78" s="35" t="s">
        <v>376</v>
      </c>
      <c r="G78" s="34" t="s">
        <v>377</v>
      </c>
      <c r="H78" s="35" t="s">
        <v>378</v>
      </c>
      <c r="I78" s="34" t="s">
        <v>14</v>
      </c>
      <c r="J78" s="34" t="s">
        <v>7</v>
      </c>
    </row>
    <row r="79" spans="1:10" ht="15" customHeight="1" x14ac:dyDescent="0.3">
      <c r="A79" s="34" t="s">
        <v>379</v>
      </c>
      <c r="B79" s="34" t="s">
        <v>32</v>
      </c>
      <c r="C79" s="34" t="s">
        <v>363</v>
      </c>
      <c r="D79" s="34" t="s">
        <v>12</v>
      </c>
      <c r="E79" s="35" t="s">
        <v>380</v>
      </c>
      <c r="F79" s="35" t="s">
        <v>381</v>
      </c>
      <c r="G79" s="34" t="s">
        <v>54</v>
      </c>
      <c r="H79" s="35" t="s">
        <v>382</v>
      </c>
      <c r="I79" s="34" t="s">
        <v>11</v>
      </c>
      <c r="J79" s="34" t="s">
        <v>7</v>
      </c>
    </row>
    <row r="80" spans="1:10" ht="15" customHeight="1" x14ac:dyDescent="0.3">
      <c r="A80" s="34" t="s">
        <v>383</v>
      </c>
      <c r="B80" s="34" t="s">
        <v>32</v>
      </c>
      <c r="C80" s="34" t="s">
        <v>369</v>
      </c>
      <c r="D80" s="34" t="s">
        <v>15</v>
      </c>
      <c r="E80" s="35" t="s">
        <v>384</v>
      </c>
      <c r="F80" s="35" t="s">
        <v>385</v>
      </c>
      <c r="G80" s="34" t="s">
        <v>386</v>
      </c>
      <c r="H80" s="35" t="s">
        <v>387</v>
      </c>
      <c r="I80" s="34" t="s">
        <v>14</v>
      </c>
      <c r="J80" s="34" t="s">
        <v>7</v>
      </c>
    </row>
    <row r="81" spans="1:10" ht="15" customHeight="1" x14ac:dyDescent="0.3">
      <c r="A81" s="34" t="s">
        <v>388</v>
      </c>
      <c r="B81" s="34" t="s">
        <v>32</v>
      </c>
      <c r="C81" s="34" t="s">
        <v>389</v>
      </c>
      <c r="D81" s="34" t="s">
        <v>15</v>
      </c>
      <c r="E81" s="35" t="s">
        <v>390</v>
      </c>
      <c r="F81" s="35" t="s">
        <v>391</v>
      </c>
      <c r="G81" s="34" t="s">
        <v>392</v>
      </c>
      <c r="H81" s="35" t="s">
        <v>393</v>
      </c>
      <c r="I81" s="34" t="s">
        <v>11</v>
      </c>
      <c r="J81" s="34" t="s">
        <v>7</v>
      </c>
    </row>
    <row r="82" spans="1:10" ht="15" customHeight="1" x14ac:dyDescent="0.3">
      <c r="A82" s="34" t="s">
        <v>394</v>
      </c>
      <c r="B82" s="34" t="s">
        <v>32</v>
      </c>
      <c r="C82" s="34" t="s">
        <v>395</v>
      </c>
      <c r="D82" s="34" t="s">
        <v>12</v>
      </c>
      <c r="E82" s="35" t="s">
        <v>396</v>
      </c>
      <c r="F82" s="35" t="s">
        <v>397</v>
      </c>
      <c r="G82" s="34" t="s">
        <v>124</v>
      </c>
      <c r="H82" s="35" t="s">
        <v>398</v>
      </c>
      <c r="I82" s="34" t="s">
        <v>14</v>
      </c>
      <c r="J82" s="34" t="s">
        <v>7</v>
      </c>
    </row>
  </sheetData>
  <autoFilter ref="A2:J82" xr:uid="{00000000-0009-0000-0000-000002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API Test Cases</vt:lpstr>
      <vt:lpstr>Raw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naimur rahman opu</cp:lastModifiedBy>
  <cp:revision>0</cp:revision>
  <dcterms:created xsi:type="dcterms:W3CDTF">2026-07-24T21:01:29Z</dcterms:created>
  <dcterms:modified xsi:type="dcterms:W3CDTF">2026-07-24T21:03:23Z</dcterms:modified>
  <dc:language>en-US</dc:language>
</cp:coreProperties>
</file>