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FA15430-6DD3-4A92-BED5-F2AAA351A78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Test Cases" sheetId="2" r:id="rId2"/>
  </sheets>
  <definedNames>
    <definedName name="_xlnm._FilterDatabase" localSheetId="1" hidden="1">'Test Cases'!$A$4:$K$29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F12" i="1"/>
  <c r="F13" i="1" s="1"/>
  <c r="C12" i="1"/>
  <c r="J8" i="1"/>
  <c r="H8" i="1"/>
  <c r="F8" i="1"/>
  <c r="D8" i="1"/>
  <c r="B8" i="1"/>
</calcChain>
</file>

<file path=xl/sharedStrings.xml><?xml version="1.0" encoding="utf-8"?>
<sst xmlns="http://schemas.openxmlformats.org/spreadsheetml/2006/main" count="209" uniqueCount="142">
  <si>
    <t>QA Sanity Test Checklist</t>
  </si>
  <si>
    <t>Project: School Management ERP  |  Test Type: Sanity Testing</t>
  </si>
  <si>
    <t>Prepared by: QA Lead   |   Date: ___________</t>
  </si>
  <si>
    <t>Total Test Cases</t>
  </si>
  <si>
    <t>Passed</t>
  </si>
  <si>
    <t>Failed</t>
  </si>
  <si>
    <t>Blocked</t>
  </si>
  <si>
    <t>Not Tested</t>
  </si>
  <si>
    <t>Priority Breakdown</t>
  </si>
  <si>
    <t>Pass Rate</t>
  </si>
  <si>
    <t>High</t>
  </si>
  <si>
    <t>Executed</t>
  </si>
  <si>
    <t>Medium</t>
  </si>
  <si>
    <t>Pass %</t>
  </si>
  <si>
    <t>Low</t>
  </si>
  <si>
    <t>QA Sanity Test Checklist — School Management ERP</t>
  </si>
  <si>
    <t>ST ID</t>
  </si>
  <si>
    <t>Module</t>
  </si>
  <si>
    <t>Feature</t>
  </si>
  <si>
    <t>Sanity Test Case</t>
  </si>
  <si>
    <t>Expected Result</t>
  </si>
  <si>
    <t>Priority</t>
  </si>
  <si>
    <t>Actual Result</t>
  </si>
  <si>
    <t>Status</t>
  </si>
  <si>
    <t>Tested By</t>
  </si>
  <si>
    <t>Date Tested</t>
  </si>
  <si>
    <t>Remarks</t>
  </si>
  <si>
    <t>ST-001</t>
  </si>
  <si>
    <t>Authentication</t>
  </si>
  <si>
    <t>Login</t>
  </si>
  <si>
    <t>Verify user can login with valid credentials</t>
  </si>
  <si>
    <t>User logs in successfully</t>
  </si>
  <si>
    <t>ST-002</t>
  </si>
  <si>
    <t>Logout</t>
  </si>
  <si>
    <t>Verify logout functionality</t>
  </si>
  <si>
    <t>User is redirected to login page</t>
  </si>
  <si>
    <t>ST-003</t>
  </si>
  <si>
    <t>Dashboard</t>
  </si>
  <si>
    <t>Verify dashboard loads after login</t>
  </si>
  <si>
    <t>Dashboard widgets load successfully</t>
  </si>
  <si>
    <t>ST-004</t>
  </si>
  <si>
    <t>Student</t>
  </si>
  <si>
    <t>Student List</t>
  </si>
  <si>
    <t>Verify Student List page opens</t>
  </si>
  <si>
    <t>Student list is displayed</t>
  </si>
  <si>
    <t>ST-005</t>
  </si>
  <si>
    <t>Add Student</t>
  </si>
  <si>
    <t>Verify Add Student page loads</t>
  </si>
  <si>
    <t>Admission form opens successfully</t>
  </si>
  <si>
    <t>ST-006</t>
  </si>
  <si>
    <t>Admission</t>
  </si>
  <si>
    <t>Admission Form</t>
  </si>
  <si>
    <t>Verify admission form opens</t>
  </si>
  <si>
    <t>Admission form loads without errors</t>
  </si>
  <si>
    <t>ST-007</t>
  </si>
  <si>
    <t>Teacher</t>
  </si>
  <si>
    <t>Teacher List</t>
  </si>
  <si>
    <t>Verify Teacher List page opens</t>
  </si>
  <si>
    <t>Teacher records are displayed</t>
  </si>
  <si>
    <t>ST-008</t>
  </si>
  <si>
    <t>Academics</t>
  </si>
  <si>
    <t>Class</t>
  </si>
  <si>
    <t>Verify Class page opens</t>
  </si>
  <si>
    <t>Class list loads correctly</t>
  </si>
  <si>
    <t>ST-009</t>
  </si>
  <si>
    <t>Subject</t>
  </si>
  <si>
    <t>Verify Subject page opens</t>
  </si>
  <si>
    <t>Subject list is displayed</t>
  </si>
  <si>
    <t>ST-010</t>
  </si>
  <si>
    <t>Attendance</t>
  </si>
  <si>
    <t>Student Attendance</t>
  </si>
  <si>
    <t>Verify attendance page loads</t>
  </si>
  <si>
    <t>Attendance page opens successfully</t>
  </si>
  <si>
    <t>ST-011</t>
  </si>
  <si>
    <t>Teacher Attendance</t>
  </si>
  <si>
    <t>Verify teacher attendance page</t>
  </si>
  <si>
    <t>Teacher attendance page loads</t>
  </si>
  <si>
    <t>ST-012</t>
  </si>
  <si>
    <t>Homework</t>
  </si>
  <si>
    <t>Homework List</t>
  </si>
  <si>
    <t>Verify homework module loads</t>
  </si>
  <si>
    <t>Homework list is displayed</t>
  </si>
  <si>
    <t>ST-013</t>
  </si>
  <si>
    <t>Create Homework</t>
  </si>
  <si>
    <t>Verify Add Homework page opens</t>
  </si>
  <si>
    <t>Homework form loads successfully</t>
  </si>
  <si>
    <t>ST-014</t>
  </si>
  <si>
    <t>Examination</t>
  </si>
  <si>
    <t>Exam Management</t>
  </si>
  <si>
    <t>Verify Exam module opens</t>
  </si>
  <si>
    <t>Exam list is displayed</t>
  </si>
  <si>
    <t>ST-015</t>
  </si>
  <si>
    <t>Grade Mapping</t>
  </si>
  <si>
    <t>Verify Grade Mapping page loads</t>
  </si>
  <si>
    <t>Grade mapping page opens</t>
  </si>
  <si>
    <t>ST-016</t>
  </si>
  <si>
    <t>Seat Plan</t>
  </si>
  <si>
    <t>Verify Seat Plan page loads</t>
  </si>
  <si>
    <t>Seat Plan page is accessible</t>
  </si>
  <si>
    <t>ST-017</t>
  </si>
  <si>
    <t>Finance</t>
  </si>
  <si>
    <t>Fee Structure</t>
  </si>
  <si>
    <t>Verify Fee Structure page loads</t>
  </si>
  <si>
    <t>Fee Structure page opens</t>
  </si>
  <si>
    <t>ST-018</t>
  </si>
  <si>
    <t>Fee Invoice</t>
  </si>
  <si>
    <t>Verify Fee Invoice page opens</t>
  </si>
  <si>
    <t>Invoice page loads successfully</t>
  </si>
  <si>
    <t>ST-019</t>
  </si>
  <si>
    <t>Accounts</t>
  </si>
  <si>
    <t>Income</t>
  </si>
  <si>
    <t>Verify Income page opens</t>
  </si>
  <si>
    <t>Income records are displayed</t>
  </si>
  <si>
    <t>ST-020</t>
  </si>
  <si>
    <t>Expense</t>
  </si>
  <si>
    <t>Verify Expense page opens</t>
  </si>
  <si>
    <t>Expense records are displayed</t>
  </si>
  <si>
    <t>ST-021</t>
  </si>
  <si>
    <t>Communication</t>
  </si>
  <si>
    <t>Notice</t>
  </si>
  <si>
    <t>Verify Notice page opens</t>
  </si>
  <si>
    <t>Notice list is displayed</t>
  </si>
  <si>
    <t>ST-022</t>
  </si>
  <si>
    <t>Library</t>
  </si>
  <si>
    <t>Book List</t>
  </si>
  <si>
    <t>Verify Library module opens</t>
  </si>
  <si>
    <t>Book list loads successfully</t>
  </si>
  <si>
    <t>ST-023</t>
  </si>
  <si>
    <t>Inventory</t>
  </si>
  <si>
    <t>Item List</t>
  </si>
  <si>
    <t>Verify Inventory page opens</t>
  </si>
  <si>
    <t>Inventory items are displayed</t>
  </si>
  <si>
    <t>ST-024</t>
  </si>
  <si>
    <t>Transport</t>
  </si>
  <si>
    <t>Route Management</t>
  </si>
  <si>
    <t>Verify Transport module opens</t>
  </si>
  <si>
    <t>Transport routes are displayed</t>
  </si>
  <si>
    <t>ST-025</t>
  </si>
  <si>
    <t>Reports</t>
  </si>
  <si>
    <t>Student Report</t>
  </si>
  <si>
    <t>Verify Student Report page opens</t>
  </si>
  <si>
    <t>Student report page loads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</si>
</sst>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22" x14ac:knownFonts="1">
    <font>
      <sz val="11"/>
      <color theme="1"/>
      <name val="Calibri"/>
      <family val="2"/>
      <charset val="1"/>
    </font>
    <font>
      <b/>
      <sz val="22"/>
      <color rgb="FF1F2A44"/>
      <name val="Calibri"/>
      <charset val="1"/>
    </font>
    <font>
      <i/>
      <sz val="12"/>
      <color rgb="FF666666"/>
      <name val="Calibri"/>
      <charset val="1"/>
    </font>
    <font>
      <sz val="11"/>
      <color rgb="FF666666"/>
      <name val="Calibri"/>
      <charset val="1"/>
    </font>
    <font>
      <b/>
      <sz val="10"/>
      <color rgb="FFFFFFFF"/>
      <name val="Calibri"/>
      <charset val="1"/>
    </font>
    <font>
      <b/>
      <sz val="20"/>
      <color rgb="FF1F2A44"/>
      <name val="Calibri"/>
      <charset val="1"/>
    </font>
    <font>
      <b/>
      <sz val="20"/>
      <color rgb="FF2E7D32"/>
      <name val="Calibri"/>
      <charset val="1"/>
    </font>
    <font>
      <b/>
      <sz val="20"/>
      <color rgb="FFC62828"/>
      <name val="Calibri"/>
      <charset val="1"/>
    </font>
    <font>
      <b/>
      <sz val="20"/>
      <color rgb="FFF9A825"/>
      <name val="Calibri"/>
      <charset val="1"/>
    </font>
    <font>
      <b/>
      <sz val="20"/>
      <color rgb="FF757575"/>
      <name val="Calibri"/>
      <charset val="1"/>
    </font>
    <font>
      <b/>
      <sz val="12"/>
      <color rgb="FF1F2A44"/>
      <name val="Calibri"/>
      <charset val="1"/>
    </font>
    <font>
      <sz val="11"/>
      <name val="Calibri"/>
      <charset val="1"/>
    </font>
    <font>
      <b/>
      <sz val="11"/>
      <color rgb="FFE74C3C"/>
      <name val="Calibri"/>
      <charset val="1"/>
    </font>
    <font>
      <b/>
      <sz val="11"/>
      <name val="Calibri"/>
      <charset val="1"/>
    </font>
    <font>
      <b/>
      <sz val="11"/>
      <color rgb="FFF39C12"/>
      <name val="Calibri"/>
      <charset val="1"/>
    </font>
    <font>
      <b/>
      <sz val="11"/>
      <color rgb="FF27AE60"/>
      <name val="Calibri"/>
      <charset val="1"/>
    </font>
    <font>
      <b/>
      <sz val="16"/>
      <color rgb="FFFFFFFF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E74C3C"/>
      <name val="Calibri"/>
      <charset val="1"/>
    </font>
    <font>
      <b/>
      <sz val="10"/>
      <color rgb="FFB9770E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7D32"/>
        <bgColor rgb="FF008080"/>
      </patternFill>
    </fill>
    <fill>
      <patternFill patternType="solid">
        <fgColor rgb="FFC62828"/>
        <bgColor rgb="FF993366"/>
      </patternFill>
    </fill>
    <fill>
      <patternFill patternType="solid">
        <fgColor rgb="FFF9A825"/>
        <bgColor rgb="FFF39C12"/>
      </patternFill>
    </fill>
    <fill>
      <patternFill patternType="solid">
        <fgColor rgb="FF757575"/>
        <bgColor rgb="FF66666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17" fillId="0" borderId="0" xfId="0" applyFont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164" fontId="11" fillId="0" borderId="1" xfId="0" applyNumberFormat="1" applyFont="1" applyBorder="1"/>
    <xf numFmtId="0" fontId="15" fillId="0" borderId="1" xfId="0" applyFont="1" applyBorder="1"/>
    <xf numFmtId="0" fontId="18" fillId="2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/>
    </xf>
    <xf numFmtId="0" fontId="19" fillId="7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5" fontId="19" fillId="7" borderId="1" xfId="0" applyNumberFormat="1" applyFont="1" applyFill="1" applyBorder="1" applyAlignment="1">
      <alignment vertical="center"/>
    </xf>
    <xf numFmtId="0" fontId="19" fillId="8" borderId="1" xfId="0" applyFont="1" applyFill="1" applyBorder="1" applyAlignment="1">
      <alignment vertical="center"/>
    </xf>
    <xf numFmtId="0" fontId="19" fillId="8" borderId="1" xfId="0" applyFont="1" applyFill="1" applyBorder="1" applyAlignment="1">
      <alignment vertical="center" wrapText="1"/>
    </xf>
    <xf numFmtId="165" fontId="19" fillId="8" borderId="1" xfId="0" applyNumberFormat="1" applyFont="1" applyFill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1" xfId="0" applyFont="1" applyBorder="1"/>
    <xf numFmtId="0" fontId="0" fillId="0" borderId="0" xfId="0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164" fontId="11" fillId="0" borderId="1" xfId="0" applyNumberFormat="1" applyFont="1" applyBorder="1"/>
    <xf numFmtId="0" fontId="15" fillId="0" borderId="1" xfId="0" applyFont="1" applyBorder="1"/>
  </cellXfs>
  <cellStyles count="1">
    <cellStyle name="Normal" xfId="0" builtinId="0"/>
  </cellStyles>
  <dxfs count="4">
    <dxf>
      <font>
        <color rgb="FF666666"/>
      </font>
      <fill>
        <patternFill>
          <bgColor rgb="FFE0E0E0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2E7D32"/>
      <rgbColor rgb="FFC0C0C0"/>
      <rgbColor rgb="FF757575"/>
      <rgbColor rgb="FF9999FF"/>
      <rgbColor rgb="FF993366"/>
      <rgbColor rgb="FFF2F2F2"/>
      <rgbColor rgb="FFE0E0E0"/>
      <rgbColor rgb="FF660066"/>
      <rgbColor rgb="FFB9770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9A825"/>
      <rgbColor rgb="FFF39C12"/>
      <rgbColor rgb="FFE74C3C"/>
      <rgbColor rgb="FF666666"/>
      <rgbColor rgb="FF969696"/>
      <rgbColor rgb="FF003366"/>
      <rgbColor rgb="FF27AE60"/>
      <rgbColor rgb="FF003300"/>
      <rgbColor rgb="FF333300"/>
      <rgbColor rgb="FFC62828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10" width="14" customWidth="1"/>
  </cols>
  <sheetData>
    <row r="2" spans="2:11" ht="28.8" x14ac:dyDescent="0.55000000000000004">
      <c r="B2" s="12" t="s">
        <v>0</v>
      </c>
      <c r="C2" s="12"/>
      <c r="D2" s="12"/>
      <c r="E2" s="12"/>
      <c r="F2" s="12"/>
      <c r="G2" s="12"/>
      <c r="H2" s="12"/>
    </row>
    <row r="3" spans="2:11" ht="15.6" x14ac:dyDescent="0.3">
      <c r="B3" s="11" t="s">
        <v>1</v>
      </c>
      <c r="C3" s="11"/>
      <c r="D3" s="11"/>
      <c r="E3" s="11"/>
      <c r="F3" s="11"/>
      <c r="G3" s="11"/>
      <c r="H3" s="11"/>
    </row>
    <row r="4" spans="2:11" x14ac:dyDescent="0.3">
      <c r="B4" s="10" t="s">
        <v>2</v>
      </c>
      <c r="C4" s="10"/>
      <c r="D4" s="10"/>
      <c r="E4" s="10"/>
      <c r="F4" s="10"/>
      <c r="G4" s="10"/>
      <c r="H4" s="10"/>
    </row>
    <row r="7" spans="2:11" ht="21.75" customHeight="1" x14ac:dyDescent="0.3">
      <c r="B7" s="9" t="s">
        <v>3</v>
      </c>
      <c r="C7" s="9"/>
      <c r="D7" s="8" t="s">
        <v>4</v>
      </c>
      <c r="E7" s="8"/>
      <c r="F7" s="7" t="s">
        <v>5</v>
      </c>
      <c r="G7" s="7"/>
      <c r="H7" s="6" t="s">
        <v>6</v>
      </c>
      <c r="I7" s="6"/>
      <c r="J7" s="5" t="s">
        <v>7</v>
      </c>
      <c r="K7" s="5"/>
    </row>
    <row r="8" spans="2:11" ht="33.75" customHeight="1" x14ac:dyDescent="0.3">
      <c r="B8" s="4">
        <f>COUNTA('Test Cases'!A5:A1000)</f>
        <v>25</v>
      </c>
      <c r="C8" s="4"/>
      <c r="D8" s="3">
        <f>COUNTIF('Test Cases'!H5:H1000,"Pass")</f>
        <v>0</v>
      </c>
      <c r="E8" s="3"/>
      <c r="F8" s="2">
        <f>COUNTIF('Test Cases'!H5:H1000,"Fail")</f>
        <v>0</v>
      </c>
      <c r="G8" s="2"/>
      <c r="H8" s="1">
        <f>COUNTIF('Test Cases'!H5:H1000,"Blocked")</f>
        <v>0</v>
      </c>
      <c r="I8" s="1"/>
      <c r="J8" s="31">
        <f>COUNTIF('Test Cases'!H5:H1000,"Not Tested")</f>
        <v>25</v>
      </c>
      <c r="K8" s="31"/>
    </row>
    <row r="11" spans="2:11" ht="15.6" x14ac:dyDescent="0.3">
      <c r="B11" s="32" t="s">
        <v>8</v>
      </c>
      <c r="C11" s="32"/>
      <c r="E11" s="33" t="s">
        <v>9</v>
      </c>
      <c r="F11" s="33"/>
    </row>
    <row r="12" spans="2:11" x14ac:dyDescent="0.3">
      <c r="B12" s="16" t="s">
        <v>10</v>
      </c>
      <c r="C12" s="17">
        <f>COUNTIF('Test Cases'!F5:F1000,"High")</f>
        <v>11</v>
      </c>
      <c r="E12" s="15" t="s">
        <v>11</v>
      </c>
      <c r="F12" s="15">
        <f>COUNTIF('Test Cases'!H5:H1000,"Pass")+COUNTIF('Test Cases'!H5:H1000,"Fail")+COUNTIF('Test Cases'!H5:H1000,"Blocked")</f>
        <v>0</v>
      </c>
    </row>
    <row r="13" spans="2:11" x14ac:dyDescent="0.3">
      <c r="B13" s="18" t="s">
        <v>12</v>
      </c>
      <c r="C13" s="17">
        <f>COUNTIF('Test Cases'!F5:F1000,"Medium")</f>
        <v>14</v>
      </c>
      <c r="E13" s="15" t="s">
        <v>13</v>
      </c>
      <c r="F13" s="19">
        <f>IFERROR(COUNTIF('Test Cases'!H5:H1000,"Pass")/F12,0)</f>
        <v>0</v>
      </c>
    </row>
    <row r="14" spans="2:11" x14ac:dyDescent="0.3">
      <c r="B14" s="20" t="s">
        <v>14</v>
      </c>
      <c r="C14" s="17">
        <f>COUNTIF('Test Cases'!F5:F1000,"Low")</f>
        <v>0</v>
      </c>
    </row>
  </sheetData>
  <mergeCells count="15">
    <mergeCell ref="B11:C11"/>
    <mergeCell ref="E11:F11"/>
    <mergeCell ref="J7:K7"/>
    <mergeCell ref="B8:C8"/>
    <mergeCell ref="D8:E8"/>
    <mergeCell ref="F8:G8"/>
    <mergeCell ref="H8:I8"/>
    <mergeCell ref="J8:K8"/>
    <mergeCell ref="B2:H2"/>
    <mergeCell ref="B3:H3"/>
    <mergeCell ref="B4:H4"/>
    <mergeCell ref="B7:C7"/>
    <mergeCell ref="D7:E7"/>
    <mergeCell ref="F7:G7"/>
    <mergeCell ref="H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tabSelected="1" zoomScaleNormal="100" workbookViewId="0">
      <pane ySplit="4" topLeftCell="A5" activePane="bottomLeft" state="frozen"/>
      <selection pane="bottomLeft" activeCell="G39" sqref="G39"/>
    </sheetView>
  </sheetViews>
  <sheetFormatPr defaultColWidth="8.6640625" defaultRowHeight="14.4" x14ac:dyDescent="0.3"/>
  <cols>
    <col min="1" max="1" width="10" customWidth="1"/>
    <col min="2" max="2" width="15" customWidth="1"/>
    <col min="3" max="3" width="18" customWidth="1"/>
    <col min="4" max="4" width="40" customWidth="1"/>
    <col min="5" max="5" width="32" customWidth="1"/>
    <col min="6" max="6" width="10" customWidth="1"/>
    <col min="7" max="7" width="26" customWidth="1"/>
    <col min="8" max="8" width="13" customWidth="1"/>
    <col min="9" max="10" width="14" customWidth="1"/>
    <col min="11" max="11" width="24" customWidth="1"/>
  </cols>
  <sheetData>
    <row r="1" spans="1:11" ht="27.75" customHeight="1" x14ac:dyDescent="0.3">
      <c r="A1" s="14" t="s">
        <v>15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15.7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1" ht="6" customHeight="1" x14ac:dyDescent="0.3"/>
    <row r="4" spans="1:11" ht="30" customHeight="1" x14ac:dyDescent="0.3">
      <c r="A4" s="21" t="s">
        <v>16</v>
      </c>
      <c r="B4" s="21" t="s">
        <v>17</v>
      </c>
      <c r="C4" s="21" t="s">
        <v>18</v>
      </c>
      <c r="D4" s="21" t="s">
        <v>19</v>
      </c>
      <c r="E4" s="21" t="s">
        <v>20</v>
      </c>
      <c r="F4" s="21" t="s">
        <v>21</v>
      </c>
      <c r="G4" s="21" t="s">
        <v>22</v>
      </c>
      <c r="H4" s="21" t="s">
        <v>23</v>
      </c>
      <c r="I4" s="21" t="s">
        <v>24</v>
      </c>
      <c r="J4" s="21" t="s">
        <v>25</v>
      </c>
      <c r="K4" s="21" t="s">
        <v>26</v>
      </c>
    </row>
    <row r="5" spans="1:11" ht="30" customHeight="1" x14ac:dyDescent="0.3">
      <c r="A5" s="22" t="s">
        <v>27</v>
      </c>
      <c r="B5" s="22" t="s">
        <v>28</v>
      </c>
      <c r="C5" s="22" t="s">
        <v>29</v>
      </c>
      <c r="D5" s="23" t="s">
        <v>30</v>
      </c>
      <c r="E5" s="23" t="s">
        <v>31</v>
      </c>
      <c r="F5" s="24" t="s">
        <v>10</v>
      </c>
      <c r="G5" s="22"/>
      <c r="H5" s="25" t="s">
        <v>7</v>
      </c>
      <c r="I5" s="22"/>
      <c r="J5" s="26"/>
      <c r="K5" s="23"/>
    </row>
    <row r="6" spans="1:11" ht="30" customHeight="1" x14ac:dyDescent="0.3">
      <c r="A6" s="27" t="s">
        <v>32</v>
      </c>
      <c r="B6" s="27" t="s">
        <v>28</v>
      </c>
      <c r="C6" s="27" t="s">
        <v>33</v>
      </c>
      <c r="D6" s="28" t="s">
        <v>34</v>
      </c>
      <c r="E6" s="28" t="s">
        <v>35</v>
      </c>
      <c r="F6" s="24" t="s">
        <v>10</v>
      </c>
      <c r="G6" s="27"/>
      <c r="H6" s="25" t="s">
        <v>7</v>
      </c>
      <c r="I6" s="27"/>
      <c r="J6" s="29"/>
      <c r="K6" s="28"/>
    </row>
    <row r="7" spans="1:11" ht="30" customHeight="1" x14ac:dyDescent="0.3">
      <c r="A7" s="22" t="s">
        <v>36</v>
      </c>
      <c r="B7" s="22" t="s">
        <v>37</v>
      </c>
      <c r="C7" s="22" t="s">
        <v>37</v>
      </c>
      <c r="D7" s="23" t="s">
        <v>38</v>
      </c>
      <c r="E7" s="23" t="s">
        <v>39</v>
      </c>
      <c r="F7" s="24" t="s">
        <v>10</v>
      </c>
      <c r="G7" s="22"/>
      <c r="H7" s="25" t="s">
        <v>7</v>
      </c>
      <c r="I7" s="22"/>
      <c r="J7" s="26"/>
      <c r="K7" s="23"/>
    </row>
    <row r="8" spans="1:11" ht="30" customHeight="1" x14ac:dyDescent="0.3">
      <c r="A8" s="27" t="s">
        <v>40</v>
      </c>
      <c r="B8" s="27" t="s">
        <v>41</v>
      </c>
      <c r="C8" s="27" t="s">
        <v>42</v>
      </c>
      <c r="D8" s="28" t="s">
        <v>43</v>
      </c>
      <c r="E8" s="28" t="s">
        <v>44</v>
      </c>
      <c r="F8" s="24" t="s">
        <v>10</v>
      </c>
      <c r="G8" s="27"/>
      <c r="H8" s="25" t="s">
        <v>7</v>
      </c>
      <c r="I8" s="27"/>
      <c r="J8" s="29"/>
      <c r="K8" s="28"/>
    </row>
    <row r="9" spans="1:11" ht="30" customHeight="1" x14ac:dyDescent="0.3">
      <c r="A9" s="22" t="s">
        <v>45</v>
      </c>
      <c r="B9" s="22" t="s">
        <v>41</v>
      </c>
      <c r="C9" s="22" t="s">
        <v>46</v>
      </c>
      <c r="D9" s="23" t="s">
        <v>47</v>
      </c>
      <c r="E9" s="23" t="s">
        <v>48</v>
      </c>
      <c r="F9" s="24" t="s">
        <v>10</v>
      </c>
      <c r="G9" s="22"/>
      <c r="H9" s="25" t="s">
        <v>7</v>
      </c>
      <c r="I9" s="22"/>
      <c r="J9" s="26"/>
      <c r="K9" s="23"/>
    </row>
    <row r="10" spans="1:11" ht="30" customHeight="1" x14ac:dyDescent="0.3">
      <c r="A10" s="27" t="s">
        <v>49</v>
      </c>
      <c r="B10" s="27" t="s">
        <v>50</v>
      </c>
      <c r="C10" s="27" t="s">
        <v>51</v>
      </c>
      <c r="D10" s="28" t="s">
        <v>52</v>
      </c>
      <c r="E10" s="28" t="s">
        <v>53</v>
      </c>
      <c r="F10" s="24" t="s">
        <v>10</v>
      </c>
      <c r="G10" s="27"/>
      <c r="H10" s="25" t="s">
        <v>7</v>
      </c>
      <c r="I10" s="27"/>
      <c r="J10" s="29"/>
      <c r="K10" s="28"/>
    </row>
    <row r="11" spans="1:11" ht="30" customHeight="1" x14ac:dyDescent="0.3">
      <c r="A11" s="22" t="s">
        <v>54</v>
      </c>
      <c r="B11" s="22" t="s">
        <v>55</v>
      </c>
      <c r="C11" s="22" t="s">
        <v>56</v>
      </c>
      <c r="D11" s="23" t="s">
        <v>57</v>
      </c>
      <c r="E11" s="23" t="s">
        <v>58</v>
      </c>
      <c r="F11" s="30" t="s">
        <v>12</v>
      </c>
      <c r="G11" s="22"/>
      <c r="H11" s="25" t="s">
        <v>7</v>
      </c>
      <c r="I11" s="22"/>
      <c r="J11" s="26"/>
      <c r="K11" s="23"/>
    </row>
    <row r="12" spans="1:11" ht="30" customHeight="1" x14ac:dyDescent="0.3">
      <c r="A12" s="27" t="s">
        <v>59</v>
      </c>
      <c r="B12" s="27" t="s">
        <v>60</v>
      </c>
      <c r="C12" s="27" t="s">
        <v>61</v>
      </c>
      <c r="D12" s="28" t="s">
        <v>62</v>
      </c>
      <c r="E12" s="28" t="s">
        <v>63</v>
      </c>
      <c r="F12" s="30" t="s">
        <v>12</v>
      </c>
      <c r="G12" s="27"/>
      <c r="H12" s="25" t="s">
        <v>7</v>
      </c>
      <c r="I12" s="27"/>
      <c r="J12" s="29"/>
      <c r="K12" s="28"/>
    </row>
    <row r="13" spans="1:11" ht="30" customHeight="1" x14ac:dyDescent="0.3">
      <c r="A13" s="22" t="s">
        <v>64</v>
      </c>
      <c r="B13" s="22" t="s">
        <v>60</v>
      </c>
      <c r="C13" s="22" t="s">
        <v>65</v>
      </c>
      <c r="D13" s="23" t="s">
        <v>66</v>
      </c>
      <c r="E13" s="23" t="s">
        <v>67</v>
      </c>
      <c r="F13" s="30" t="s">
        <v>12</v>
      </c>
      <c r="G13" s="22"/>
      <c r="H13" s="25" t="s">
        <v>7</v>
      </c>
      <c r="I13" s="22"/>
      <c r="J13" s="26"/>
      <c r="K13" s="23"/>
    </row>
    <row r="14" spans="1:11" ht="30" customHeight="1" x14ac:dyDescent="0.3">
      <c r="A14" s="27" t="s">
        <v>68</v>
      </c>
      <c r="B14" s="27" t="s">
        <v>69</v>
      </c>
      <c r="C14" s="27" t="s">
        <v>70</v>
      </c>
      <c r="D14" s="28" t="s">
        <v>71</v>
      </c>
      <c r="E14" s="28" t="s">
        <v>72</v>
      </c>
      <c r="F14" s="24" t="s">
        <v>10</v>
      </c>
      <c r="G14" s="27"/>
      <c r="H14" s="25" t="s">
        <v>7</v>
      </c>
      <c r="I14" s="27"/>
      <c r="J14" s="29"/>
      <c r="K14" s="28"/>
    </row>
    <row r="15" spans="1:11" ht="30" customHeight="1" x14ac:dyDescent="0.3">
      <c r="A15" s="22" t="s">
        <v>73</v>
      </c>
      <c r="B15" s="22" t="s">
        <v>69</v>
      </c>
      <c r="C15" s="22" t="s">
        <v>74</v>
      </c>
      <c r="D15" s="23" t="s">
        <v>75</v>
      </c>
      <c r="E15" s="23" t="s">
        <v>76</v>
      </c>
      <c r="F15" s="30" t="s">
        <v>12</v>
      </c>
      <c r="G15" s="22"/>
      <c r="H15" s="25" t="s">
        <v>7</v>
      </c>
      <c r="I15" s="22"/>
      <c r="J15" s="26"/>
      <c r="K15" s="23"/>
    </row>
    <row r="16" spans="1:11" ht="30" customHeight="1" x14ac:dyDescent="0.3">
      <c r="A16" s="27" t="s">
        <v>77</v>
      </c>
      <c r="B16" s="27" t="s">
        <v>78</v>
      </c>
      <c r="C16" s="27" t="s">
        <v>79</v>
      </c>
      <c r="D16" s="28" t="s">
        <v>80</v>
      </c>
      <c r="E16" s="28" t="s">
        <v>81</v>
      </c>
      <c r="F16" s="30" t="s">
        <v>12</v>
      </c>
      <c r="G16" s="27"/>
      <c r="H16" s="25" t="s">
        <v>7</v>
      </c>
      <c r="I16" s="27"/>
      <c r="J16" s="29"/>
      <c r="K16" s="28"/>
    </row>
    <row r="17" spans="1:11" ht="30" customHeight="1" x14ac:dyDescent="0.3">
      <c r="A17" s="22" t="s">
        <v>82</v>
      </c>
      <c r="B17" s="22" t="s">
        <v>78</v>
      </c>
      <c r="C17" s="22" t="s">
        <v>83</v>
      </c>
      <c r="D17" s="23" t="s">
        <v>84</v>
      </c>
      <c r="E17" s="23" t="s">
        <v>85</v>
      </c>
      <c r="F17" s="30" t="s">
        <v>12</v>
      </c>
      <c r="G17" s="22"/>
      <c r="H17" s="25" t="s">
        <v>7</v>
      </c>
      <c r="I17" s="22"/>
      <c r="J17" s="26"/>
      <c r="K17" s="23"/>
    </row>
    <row r="18" spans="1:11" ht="30" customHeight="1" x14ac:dyDescent="0.3">
      <c r="A18" s="27" t="s">
        <v>86</v>
      </c>
      <c r="B18" s="27" t="s">
        <v>87</v>
      </c>
      <c r="C18" s="27" t="s">
        <v>88</v>
      </c>
      <c r="D18" s="28" t="s">
        <v>89</v>
      </c>
      <c r="E18" s="28" t="s">
        <v>90</v>
      </c>
      <c r="F18" s="24" t="s">
        <v>10</v>
      </c>
      <c r="G18" s="27"/>
      <c r="H18" s="25" t="s">
        <v>7</v>
      </c>
      <c r="I18" s="27"/>
      <c r="J18" s="29"/>
      <c r="K18" s="28"/>
    </row>
    <row r="19" spans="1:11" ht="30" customHeight="1" x14ac:dyDescent="0.3">
      <c r="A19" s="22" t="s">
        <v>91</v>
      </c>
      <c r="B19" s="22" t="s">
        <v>87</v>
      </c>
      <c r="C19" s="22" t="s">
        <v>92</v>
      </c>
      <c r="D19" s="23" t="s">
        <v>93</v>
      </c>
      <c r="E19" s="23" t="s">
        <v>94</v>
      </c>
      <c r="F19" s="30" t="s">
        <v>12</v>
      </c>
      <c r="G19" s="22"/>
      <c r="H19" s="25" t="s">
        <v>7</v>
      </c>
      <c r="I19" s="22"/>
      <c r="J19" s="26"/>
      <c r="K19" s="23"/>
    </row>
    <row r="20" spans="1:11" ht="30" customHeight="1" x14ac:dyDescent="0.3">
      <c r="A20" s="27" t="s">
        <v>95</v>
      </c>
      <c r="B20" s="27" t="s">
        <v>87</v>
      </c>
      <c r="C20" s="27" t="s">
        <v>96</v>
      </c>
      <c r="D20" s="28" t="s">
        <v>97</v>
      </c>
      <c r="E20" s="28" t="s">
        <v>98</v>
      </c>
      <c r="F20" s="30" t="s">
        <v>12</v>
      </c>
      <c r="G20" s="27"/>
      <c r="H20" s="25" t="s">
        <v>7</v>
      </c>
      <c r="I20" s="27"/>
      <c r="J20" s="29"/>
      <c r="K20" s="28"/>
    </row>
    <row r="21" spans="1:11" ht="30" customHeight="1" x14ac:dyDescent="0.3">
      <c r="A21" s="22" t="s">
        <v>99</v>
      </c>
      <c r="B21" s="22" t="s">
        <v>100</v>
      </c>
      <c r="C21" s="22" t="s">
        <v>101</v>
      </c>
      <c r="D21" s="23" t="s">
        <v>102</v>
      </c>
      <c r="E21" s="23" t="s">
        <v>103</v>
      </c>
      <c r="F21" s="24" t="s">
        <v>10</v>
      </c>
      <c r="G21" s="22"/>
      <c r="H21" s="25" t="s">
        <v>7</v>
      </c>
      <c r="I21" s="22"/>
      <c r="J21" s="26"/>
      <c r="K21" s="23"/>
    </row>
    <row r="22" spans="1:11" ht="30" customHeight="1" x14ac:dyDescent="0.3">
      <c r="A22" s="27" t="s">
        <v>104</v>
      </c>
      <c r="B22" s="27" t="s">
        <v>100</v>
      </c>
      <c r="C22" s="27" t="s">
        <v>105</v>
      </c>
      <c r="D22" s="28" t="s">
        <v>106</v>
      </c>
      <c r="E22" s="28" t="s">
        <v>107</v>
      </c>
      <c r="F22" s="24" t="s">
        <v>10</v>
      </c>
      <c r="G22" s="27"/>
      <c r="H22" s="25" t="s">
        <v>7</v>
      </c>
      <c r="I22" s="27"/>
      <c r="J22" s="29"/>
      <c r="K22" s="28"/>
    </row>
    <row r="23" spans="1:11" ht="30" customHeight="1" x14ac:dyDescent="0.3">
      <c r="A23" s="22" t="s">
        <v>108</v>
      </c>
      <c r="B23" s="22" t="s">
        <v>109</v>
      </c>
      <c r="C23" s="22" t="s">
        <v>110</v>
      </c>
      <c r="D23" s="23" t="s">
        <v>111</v>
      </c>
      <c r="E23" s="23" t="s">
        <v>112</v>
      </c>
      <c r="F23" s="30" t="s">
        <v>12</v>
      </c>
      <c r="G23" s="22"/>
      <c r="H23" s="25" t="s">
        <v>7</v>
      </c>
      <c r="I23" s="22"/>
      <c r="J23" s="26"/>
      <c r="K23" s="23"/>
    </row>
    <row r="24" spans="1:11" ht="30" customHeight="1" x14ac:dyDescent="0.3">
      <c r="A24" s="27" t="s">
        <v>113</v>
      </c>
      <c r="B24" s="27" t="s">
        <v>109</v>
      </c>
      <c r="C24" s="27" t="s">
        <v>114</v>
      </c>
      <c r="D24" s="28" t="s">
        <v>115</v>
      </c>
      <c r="E24" s="28" t="s">
        <v>116</v>
      </c>
      <c r="F24" s="30" t="s">
        <v>12</v>
      </c>
      <c r="G24" s="27"/>
      <c r="H24" s="25" t="s">
        <v>7</v>
      </c>
      <c r="I24" s="27"/>
      <c r="J24" s="29"/>
      <c r="K24" s="28"/>
    </row>
    <row r="25" spans="1:11" ht="30" customHeight="1" x14ac:dyDescent="0.3">
      <c r="A25" s="22" t="s">
        <v>117</v>
      </c>
      <c r="B25" s="22" t="s">
        <v>118</v>
      </c>
      <c r="C25" s="22" t="s">
        <v>119</v>
      </c>
      <c r="D25" s="23" t="s">
        <v>120</v>
      </c>
      <c r="E25" s="23" t="s">
        <v>121</v>
      </c>
      <c r="F25" s="30" t="s">
        <v>12</v>
      </c>
      <c r="G25" s="22"/>
      <c r="H25" s="25" t="s">
        <v>7</v>
      </c>
      <c r="I25" s="22"/>
      <c r="J25" s="26"/>
      <c r="K25" s="23"/>
    </row>
    <row r="26" spans="1:11" ht="30" customHeight="1" x14ac:dyDescent="0.3">
      <c r="A26" s="27" t="s">
        <v>122</v>
      </c>
      <c r="B26" s="27" t="s">
        <v>123</v>
      </c>
      <c r="C26" s="27" t="s">
        <v>124</v>
      </c>
      <c r="D26" s="28" t="s">
        <v>125</v>
      </c>
      <c r="E26" s="28" t="s">
        <v>126</v>
      </c>
      <c r="F26" s="30" t="s">
        <v>12</v>
      </c>
      <c r="G26" s="27"/>
      <c r="H26" s="25" t="s">
        <v>7</v>
      </c>
      <c r="I26" s="27"/>
      <c r="J26" s="29"/>
      <c r="K26" s="28"/>
    </row>
    <row r="27" spans="1:11" ht="30" customHeight="1" x14ac:dyDescent="0.3">
      <c r="A27" s="22" t="s">
        <v>127</v>
      </c>
      <c r="B27" s="22" t="s">
        <v>128</v>
      </c>
      <c r="C27" s="22" t="s">
        <v>129</v>
      </c>
      <c r="D27" s="23" t="s">
        <v>130</v>
      </c>
      <c r="E27" s="23" t="s">
        <v>131</v>
      </c>
      <c r="F27" s="30" t="s">
        <v>12</v>
      </c>
      <c r="G27" s="22"/>
      <c r="H27" s="25" t="s">
        <v>7</v>
      </c>
      <c r="I27" s="22"/>
      <c r="J27" s="26"/>
      <c r="K27" s="23"/>
    </row>
    <row r="28" spans="1:11" ht="30" customHeight="1" x14ac:dyDescent="0.3">
      <c r="A28" s="27" t="s">
        <v>132</v>
      </c>
      <c r="B28" s="27" t="s">
        <v>133</v>
      </c>
      <c r="C28" s="27" t="s">
        <v>134</v>
      </c>
      <c r="D28" s="28" t="s">
        <v>135</v>
      </c>
      <c r="E28" s="28" t="s">
        <v>136</v>
      </c>
      <c r="F28" s="30" t="s">
        <v>12</v>
      </c>
      <c r="G28" s="27"/>
      <c r="H28" s="25" t="s">
        <v>7</v>
      </c>
      <c r="I28" s="27"/>
      <c r="J28" s="29"/>
      <c r="K28" s="28"/>
    </row>
    <row r="29" spans="1:11" ht="30" customHeight="1" x14ac:dyDescent="0.3">
      <c r="A29" s="22" t="s">
        <v>137</v>
      </c>
      <c r="B29" s="22" t="s">
        <v>138</v>
      </c>
      <c r="C29" s="22" t="s">
        <v>139</v>
      </c>
      <c r="D29" s="23" t="s">
        <v>140</v>
      </c>
      <c r="E29" s="23" t="s">
        <v>141</v>
      </c>
      <c r="F29" s="24" t="s">
        <v>10</v>
      </c>
      <c r="G29" s="22"/>
      <c r="H29" s="25" t="s">
        <v>7</v>
      </c>
      <c r="I29" s="22"/>
      <c r="J29" s="26"/>
      <c r="K29" s="23"/>
    </row>
    <row r="37" spans="2:7" ht="15.6" x14ac:dyDescent="0.3">
      <c r="B37" s="34"/>
      <c r="C37" s="32" t="s">
        <v>8</v>
      </c>
      <c r="D37" s="32"/>
      <c r="E37" s="34"/>
      <c r="F37" s="33" t="s">
        <v>9</v>
      </c>
      <c r="G37" s="33"/>
    </row>
    <row r="38" spans="2:7" x14ac:dyDescent="0.3">
      <c r="B38" s="34"/>
      <c r="C38" s="36" t="s">
        <v>10</v>
      </c>
      <c r="D38" s="37">
        <v>11</v>
      </c>
      <c r="E38" s="34"/>
      <c r="F38" s="35" t="s">
        <v>11</v>
      </c>
      <c r="G38" s="35">
        <v>0</v>
      </c>
    </row>
    <row r="39" spans="2:7" x14ac:dyDescent="0.3">
      <c r="B39" s="34"/>
      <c r="C39" s="38" t="s">
        <v>12</v>
      </c>
      <c r="D39" s="37">
        <v>14</v>
      </c>
      <c r="E39" s="34"/>
      <c r="F39" s="35" t="s">
        <v>13</v>
      </c>
      <c r="G39" s="39">
        <v>0</v>
      </c>
    </row>
    <row r="40" spans="2:7" x14ac:dyDescent="0.3">
      <c r="B40" s="34"/>
      <c r="C40" s="40" t="s">
        <v>14</v>
      </c>
      <c r="D40" s="37">
        <v>0</v>
      </c>
      <c r="E40" s="34"/>
      <c r="F40" s="34"/>
      <c r="G40" s="34"/>
    </row>
  </sheetData>
  <autoFilter ref="A4:K29" xr:uid="{00000000-0009-0000-0000-000001000000}"/>
  <mergeCells count="4">
    <mergeCell ref="A1:J1"/>
    <mergeCell ref="A2:J2"/>
    <mergeCell ref="C37:D37"/>
    <mergeCell ref="F37:G37"/>
  </mergeCells>
  <conditionalFormatting sqref="H5:H29">
    <cfRule type="expression" dxfId="3" priority="2">
      <formula>H5="Pass"</formula>
    </cfRule>
    <cfRule type="expression" dxfId="2" priority="3">
      <formula>H5="Fail"</formula>
    </cfRule>
    <cfRule type="expression" dxfId="1" priority="4">
      <formula>H5="Blocked"</formula>
    </cfRule>
    <cfRule type="expression" dxfId="0" priority="5">
      <formula>H5="Not Tested"</formula>
    </cfRule>
  </conditionalFormatting>
  <dataValidations count="1">
    <dataValidation type="list" allowBlank="1" sqref="H5:H29" xr:uid="{00000000-0002-0000-0100-000000000000}">
      <formula1>"Pass,Fail,Blocked,Not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naimur rahman opu</cp:lastModifiedBy>
  <cp:revision>0</cp:revision>
  <dcterms:created xsi:type="dcterms:W3CDTF">2026-07-24T14:34:38Z</dcterms:created>
  <dcterms:modified xsi:type="dcterms:W3CDTF">2026-07-24T14:37:09Z</dcterms:modified>
  <dc:language>en-US</dc:language>
</cp:coreProperties>
</file>